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tteo\UNI\Magistrale AI\tesi\results\"/>
    </mc:Choice>
  </mc:AlternateContent>
  <xr:revisionPtr revIDLastSave="0" documentId="13_ncr:1_{21ADB951-551F-4C9C-9A4D-D9844DEBB94B}" xr6:coauthVersionLast="47" xr6:coauthVersionMax="47" xr10:uidLastSave="{00000000-0000-0000-0000-000000000000}"/>
  <bookViews>
    <workbookView xWindow="-120" yWindow="-120" windowWidth="29040" windowHeight="15720" xr2:uid="{59FC6393-1880-4F9F-B64F-8EC30F610A37}"/>
  </bookViews>
  <sheets>
    <sheet name="fase1_alpha_walk" sheetId="5" r:id="rId1"/>
  </sheets>
  <definedNames>
    <definedName name="DatiEsterni_1" localSheetId="0" hidden="1">fase1_alpha_walk!$A$2:$N$70</definedName>
    <definedName name="DatiEsterni_2" localSheetId="0" hidden="1">fase1_alpha_walk!$P$2:$AC$70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90" i="5" l="1"/>
  <c r="G191" i="5"/>
  <c r="G192" i="5"/>
  <c r="G193" i="5"/>
  <c r="G194" i="5"/>
  <c r="G195" i="5"/>
  <c r="G196" i="5"/>
  <c r="G197" i="5"/>
  <c r="G198" i="5"/>
  <c r="G199" i="5"/>
  <c r="G200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7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915EA8-FC1F-452F-ABBE-E294B5A3D743}" keepAlive="1" name="Query - fase1_alpha_walk" description="Connessione alla query 'fase1_alpha_walk' nella cartella di lavoro." type="5" refreshedVersion="8" background="1" saveData="1">
    <dbPr connection="Provider=Microsoft.Mashup.OleDb.1;Data Source=$Workbook$;Location=fase1_alpha_walk;Extended Properties=&quot;&quot;" command="SELECT * FROM [fase1_alpha_walk]"/>
  </connection>
  <connection id="2" xr16:uid="{8CE4894F-347A-4B9C-BED8-1F545F6A64EA}" keepAlive="1" name="Query - fase1_rough_walk" description="Connessione alla query 'fase1_rough_walk' nella cartella di lavoro." type="5" refreshedVersion="8" background="1" saveData="1">
    <dbPr connection="Provider=Microsoft.Mashup.OleDb.1;Data Source=$Workbook$;Location=fase1_rough_walk;Extended Properties=&quot;&quot;" command="SELECT * FROM [fase1_rough_walk]"/>
  </connection>
  <connection id="3" xr16:uid="{9B0A2B1D-860D-46DA-83FA-3B3D5E8D3E6F}" keepAlive="1" name="Query - Nuovo Documento di testo" description="Connessione alla query 'Nuovo Documento di testo' nella cartella di lavoro." type="5" refreshedVersion="0" background="1">
    <dbPr connection="Provider=Microsoft.Mashup.OleDb.1;Data Source=$Workbook$;Location=&quot;Nuovo Documento di testo&quot;;Extended Properties=&quot;&quot;" command="SELECT * FROM [Nuovo Documento di testo]"/>
  </connection>
  <connection id="4" xr16:uid="{AD37D4E9-54B5-466E-B178-D15E0A7C8056}" keepAlive="1" name="Query - Nuovo Documento di testo (2)" description="Connessione alla query 'Nuovo Documento di testo (2)' nella cartella di lavoro." type="5" refreshedVersion="0" background="1">
    <dbPr connection="Provider=Microsoft.Mashup.OleDb.1;Data Source=$Workbook$;Location=&quot;Nuovo Documento di testo (2)&quot;;Extended Properties=&quot;&quot;" command="SELECT * FROM [Nuovo Documento di testo (2)]"/>
  </connection>
  <connection id="5" xr16:uid="{20F3EF02-F1DA-4ED3-A138-21B0DA3D86FF}" keepAlive="1" name="Query - Nuovo Documento di testo (3)" description="Connessione alla query 'Nuovo Documento di testo (3)' nella cartella di lavoro." type="5" refreshedVersion="8" background="1" saveData="1">
    <dbPr connection="Provider=Microsoft.Mashup.OleDb.1;Data Source=$Workbook$;Location=&quot;Nuovo Documento di testo (3)&quot;;Extended Properties=&quot;&quot;" command="SELECT * FROM [Nuovo Documento di testo (3)]"/>
  </connection>
  <connection id="6" xr16:uid="{C1852980-DB4C-4969-BDE4-D49BC0C46F70}" keepAlive="1" name="Query - Nuovo Documento di testo (4)" description="Connessione alla query 'Nuovo Documento di testo (4)' nella cartella di lavoro." type="5" refreshedVersion="0" background="1">
    <dbPr connection="Provider=Microsoft.Mashup.OleDb.1;Data Source=$Workbook$;Location=&quot;Nuovo Documento di testo (4)&quot;;Extended Properties=&quot;&quot;" command="SELECT * FROM [Nuovo Documento di testo (4)]"/>
  </connection>
  <connection id="7" xr16:uid="{CD928334-FD10-4890-8978-2B701EF014AB}" keepAlive="1" name="Query - Nuovo Documento di testo (5)" description="Connessione alla query 'Nuovo Documento di testo (5)' nella cartella di lavoro." type="5" refreshedVersion="8" background="1" saveData="1">
    <dbPr connection="Provider=Microsoft.Mashup.OleDb.1;Data Source=$Workbook$;Location=&quot;Nuovo Documento di testo (5)&quot;;Extended Properties=&quot;&quot;" command="SELECT * FROM [Nuovo Documento di testo (5)]"/>
  </connection>
</connections>
</file>

<file path=xl/sharedStrings.xml><?xml version="1.0" encoding="utf-8"?>
<sst xmlns="http://schemas.openxmlformats.org/spreadsheetml/2006/main" count="982" uniqueCount="141">
  <si>
    <t>condition</t>
  </si>
  <si>
    <t>ROUGH</t>
  </si>
  <si>
    <t>falls</t>
  </si>
  <si>
    <t>falls 95% CI (%)</t>
  </si>
  <si>
    <t>completed</t>
  </si>
  <si>
    <t>vel err 1s (m/s)</t>
  </si>
  <si>
    <t>speed (m/s)</t>
  </si>
  <si>
    <t>yaw rate (rad/s)</t>
  </si>
  <si>
    <t>power (W)</t>
  </si>
  <si>
    <t>falls after event</t>
  </si>
  <si>
    <t>vel err after event</t>
  </si>
  <si>
    <t>com shift (mm)</t>
  </si>
  <si>
    <t>worse than flat</t>
  </si>
  <si>
    <t>policy</t>
  </si>
  <si>
    <t>group</t>
  </si>
  <si>
    <t>alpha_walking</t>
  </si>
  <si>
    <t>reference</t>
  </si>
  <si>
    <t>flat</t>
  </si>
  <si>
    <t>0/20</t>
  </si>
  <si>
    <t>0-16</t>
  </si>
  <si>
    <t>uneven</t>
  </si>
  <si>
    <t>grid_0.3cm</t>
  </si>
  <si>
    <t>grid_0.6cm</t>
  </si>
  <si>
    <t>grid_0.9cm</t>
  </si>
  <si>
    <t>grid_1.2cm</t>
  </si>
  <si>
    <t>22-61</t>
  </si>
  <si>
    <t>falls, power</t>
  </si>
  <si>
    <t>grid_1.5cm</t>
  </si>
  <si>
    <t>30-70</t>
  </si>
  <si>
    <t>rubble_0.2cm</t>
  </si>
  <si>
    <t>rubble_0.75cm</t>
  </si>
  <si>
    <t>rubble_1.3cm</t>
  </si>
  <si>
    <t>vel</t>
  </si>
  <si>
    <t>rubble_1.9cm</t>
  </si>
  <si>
    <t>16/20</t>
  </si>
  <si>
    <t>58-92</t>
  </si>
  <si>
    <t>falls, vel</t>
  </si>
  <si>
    <t>rubble_2.5cm</t>
  </si>
  <si>
    <t>15/20</t>
  </si>
  <si>
    <t>53-89</t>
  </si>
  <si>
    <t>waves_0.5cm</t>
  </si>
  <si>
    <t>waves_1.0cm</t>
  </si>
  <si>
    <t>waves_1.5cm</t>
  </si>
  <si>
    <t>waves_2.0cm</t>
  </si>
  <si>
    <t>steps</t>
  </si>
  <si>
    <t>stairs_down_1.0cm</t>
  </si>
  <si>
    <t>power</t>
  </si>
  <si>
    <t>stairs_up_1.0cm</t>
  </si>
  <si>
    <t>vel, power</t>
  </si>
  <si>
    <t>stairs_down_1.5cm</t>
  </si>
  <si>
    <t>stairs_up_1.5cm</t>
  </si>
  <si>
    <t>18/20</t>
  </si>
  <si>
    <t>70-97</t>
  </si>
  <si>
    <t>stairs_down_2.0cm</t>
  </si>
  <si>
    <t>20/20</t>
  </si>
  <si>
    <t>84-100</t>
  </si>
  <si>
    <t>stairs_up_2.0cm</t>
  </si>
  <si>
    <t>stairs_down_2.5cm</t>
  </si>
  <si>
    <t>stairs_up_2.5cm</t>
  </si>
  <si>
    <t>stairs_down_3.0cm</t>
  </si>
  <si>
    <t>stairs_up_3.0cm</t>
  </si>
  <si>
    <t>slope</t>
  </si>
  <si>
    <t>pyramid_3.0deg</t>
  </si>
  <si>
    <t>pyramid_5.0deg</t>
  </si>
  <si>
    <t>pyramid_7.0deg</t>
  </si>
  <si>
    <t>pyramid_9.0deg</t>
  </si>
  <si>
    <t>face_0deg_downhill</t>
  </si>
  <si>
    <t>face_0deg_uphill</t>
  </si>
  <si>
    <t>face_2.5deg_downhill</t>
  </si>
  <si>
    <t>face_2.5deg_uphill</t>
  </si>
  <si>
    <t>face_5deg_downhill</t>
  </si>
  <si>
    <t>39-78</t>
  </si>
  <si>
    <t>face_5deg_uphill</t>
  </si>
  <si>
    <t>face_7.5deg_downhill</t>
  </si>
  <si>
    <t>face_7.5deg_uphill</t>
  </si>
  <si>
    <t>face_10deg_downhill</t>
  </si>
  <si>
    <t>face_10deg_uphill</t>
  </si>
  <si>
    <t>face_12.5deg_downhill</t>
  </si>
  <si>
    <t>face_12.5deg_uphill</t>
  </si>
  <si>
    <t>face_15deg_downhill</t>
  </si>
  <si>
    <t>face_15deg_uphill</t>
  </si>
  <si>
    <t>friction</t>
  </si>
  <si>
    <t>friction_0.6</t>
  </si>
  <si>
    <t>friction_0.5</t>
  </si>
  <si>
    <t>friction_0.4</t>
  </si>
  <si>
    <t>friction_0.3</t>
  </si>
  <si>
    <t>friction_0.2</t>
  </si>
  <si>
    <t>friction_0.1</t>
  </si>
  <si>
    <t>payload</t>
  </si>
  <si>
    <t>payload_10pct_com</t>
  </si>
  <si>
    <t>payload_20pct_com</t>
  </si>
  <si>
    <t>payload_30pct_com</t>
  </si>
  <si>
    <t>payload_20pct_front</t>
  </si>
  <si>
    <t>payload_20pct_back</t>
  </si>
  <si>
    <t>payload_20pct_side</t>
  </si>
  <si>
    <t>payload_20pct_up</t>
  </si>
  <si>
    <t>payload_30pct_front</t>
  </si>
  <si>
    <t>payload_30pct_back</t>
  </si>
  <si>
    <t>payload_30pct_side</t>
  </si>
  <si>
    <t>payload_30pct_up</t>
  </si>
  <si>
    <t>transition</t>
  </si>
  <si>
    <t>trans_down_5deg</t>
  </si>
  <si>
    <t>trans_up_5deg</t>
  </si>
  <si>
    <t>trans_down_10deg</t>
  </si>
  <si>
    <t>19/20</t>
  </si>
  <si>
    <t>76-99</t>
  </si>
  <si>
    <t>trans_up_10deg</t>
  </si>
  <si>
    <t>trans_friction_0.3</t>
  </si>
  <si>
    <t>trans_friction_0.15</t>
  </si>
  <si>
    <t>trans_payload_30pct_com</t>
  </si>
  <si>
    <t>trans_payload_30pct_back</t>
  </si>
  <si>
    <t>rough_walk_g</t>
  </si>
  <si>
    <t>15-52</t>
  </si>
  <si>
    <t>34-74</t>
  </si>
  <si>
    <t>falls, vel, power</t>
  </si>
  <si>
    <t/>
  </si>
  <si>
    <t>1/20</t>
  </si>
  <si>
    <t>1-24</t>
  </si>
  <si>
    <t>4/20</t>
  </si>
  <si>
    <t>8-42</t>
  </si>
  <si>
    <t>8/20</t>
  </si>
  <si>
    <t>10/20</t>
  </si>
  <si>
    <t>3/20</t>
  </si>
  <si>
    <t>5-36</t>
  </si>
  <si>
    <t>12/20</t>
  </si>
  <si>
    <t>0,0,0</t>
  </si>
  <si>
    <t>8.3,0,0</t>
  </si>
  <si>
    <t>-8.3,0,0</t>
  </si>
  <si>
    <t>0,8.3,0</t>
  </si>
  <si>
    <t>0,0,13.3</t>
  </si>
  <si>
    <t>11.5,0,0</t>
  </si>
  <si>
    <t>-11.5,0,0</t>
  </si>
  <si>
    <t>0,11.5,0</t>
  </si>
  <si>
    <t>0,0,18.5</t>
  </si>
  <si>
    <t>ALHPA</t>
  </si>
  <si>
    <t>6/20</t>
  </si>
  <si>
    <t>5/20</t>
  </si>
  <si>
    <t>11-47</t>
  </si>
  <si>
    <t>2/20</t>
  </si>
  <si>
    <t>3-30</t>
  </si>
  <si>
    <t>11/20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</si>
</sst>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e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6DCC984B-788C-4ED6-9B48-6A85212776A7}" autoFormatId="16" applyNumberFormats="0" applyBorderFormats="0" applyFontFormats="0" applyPatternFormats="0" applyAlignmentFormats="0" applyWidthHeightFormats="0">
  <queryTableRefresh nextId="15">
    <queryTableFields count="14">
      <queryTableField id="1" name="policy" tableColumnId="1"/>
      <queryTableField id="2" name="group" tableColumnId="2"/>
      <queryTableField id="3" name="condition" tableColumnId="3"/>
      <queryTableField id="4" name="falls" tableColumnId="4"/>
      <queryTableField id="5" name="falls 95% CI (%)" tableColumnId="5"/>
      <queryTableField id="6" name="completed" tableColumnId="6"/>
      <queryTableField id="7" name="vel err 1s (m/s)" tableColumnId="7"/>
      <queryTableField id="8" name="speed (m/s)" tableColumnId="8"/>
      <queryTableField id="9" name="yaw rate (rad/s)" tableColumnId="9"/>
      <queryTableField id="10" name="power (W)" tableColumnId="10"/>
      <queryTableField id="11" name="falls after event" tableColumnId="11"/>
      <queryTableField id="12" name="vel err after event" tableColumnId="12"/>
      <queryTableField id="13" name="com shift (mm)" tableColumnId="13"/>
      <queryTableField id="14" name="worse than flat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FBE3BA21-BF07-486B-95CF-4D4D03448A7F}" autoFormatId="16" applyNumberFormats="0" applyBorderFormats="0" applyFontFormats="0" applyPatternFormats="0" applyAlignmentFormats="0" applyWidthHeightFormats="0">
  <queryTableRefresh nextId="15">
    <queryTableFields count="14">
      <queryTableField id="1" name="policy" tableColumnId="1"/>
      <queryTableField id="2" name="group" tableColumnId="2"/>
      <queryTableField id="3" name="condition" tableColumnId="3"/>
      <queryTableField id="4" name="falls" tableColumnId="4"/>
      <queryTableField id="5" name="falls 95% CI (%)" tableColumnId="5"/>
      <queryTableField id="6" name="completed" tableColumnId="6"/>
      <queryTableField id="7" name="vel err 1s (m/s)" tableColumnId="7"/>
      <queryTableField id="8" name="speed (m/s)" tableColumnId="8"/>
      <queryTableField id="9" name="yaw rate (rad/s)" tableColumnId="9"/>
      <queryTableField id="10" name="power (W)" tableColumnId="10"/>
      <queryTableField id="11" name="falls after event" tableColumnId="11"/>
      <queryTableField id="12" name="vel err after event" tableColumnId="12"/>
      <queryTableField id="13" name="com shift (mm)" tableColumnId="13"/>
      <queryTableField id="14" name="worse than flat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D9C941-80DB-48AB-B4A8-8B75CF0B67F2}" name="fase1_alpha_walk" displayName="fase1_alpha_walk" ref="A2:N70" tableType="queryTable" totalsRowShown="0">
  <autoFilter ref="A2:N70" xr:uid="{55D9C941-80DB-48AB-B4A8-8B75CF0B67F2}"/>
  <tableColumns count="14">
    <tableColumn id="1" xr3:uid="{4BE1545F-863D-4637-A62E-FE1A1B8DBB03}" uniqueName="1" name="policy" queryTableFieldId="1" dataDxfId="13"/>
    <tableColumn id="2" xr3:uid="{BEFE9CD9-9683-45C7-8FBC-42BB2EE1EC71}" uniqueName="2" name="group" queryTableFieldId="2" dataDxfId="12"/>
    <tableColumn id="3" xr3:uid="{2B057F7F-2D3C-45B3-B8BC-FAB0FA0159B2}" uniqueName="3" name="condition" queryTableFieldId="3" dataDxfId="11"/>
    <tableColumn id="4" xr3:uid="{D4C18FED-A231-4A8B-9D26-17E2A750B6C5}" uniqueName="4" name="falls" queryTableFieldId="4" dataDxfId="10"/>
    <tableColumn id="5" xr3:uid="{27732139-77A7-4489-8F8F-AF4E2A9F0011}" uniqueName="5" name="falls 95% CI (%)" queryTableFieldId="5" dataDxfId="9"/>
    <tableColumn id="6" xr3:uid="{AC220B95-CCBD-40B9-B89E-92D2EF4C1E0A}" uniqueName="6" name="completed" queryTableFieldId="6"/>
    <tableColumn id="7" xr3:uid="{BEFC2DDC-2407-4079-B7BA-BC6D9A614C33}" uniqueName="7" name="vel err 1s (m/s)" queryTableFieldId="7"/>
    <tableColumn id="8" xr3:uid="{AF5C4A76-DB0C-41CC-B975-39D5FF814B75}" uniqueName="8" name="speed (m/s)" queryTableFieldId="8"/>
    <tableColumn id="9" xr3:uid="{852B8325-66D6-4177-85D7-93C18E055B58}" uniqueName="9" name="yaw rate (rad/s)" queryTableFieldId="9"/>
    <tableColumn id="10" xr3:uid="{59AEB842-DA16-4100-B173-20D628DBF5CB}" uniqueName="10" name="power (W)" queryTableFieldId="10"/>
    <tableColumn id="11" xr3:uid="{D44B665C-FDE3-44B2-AEB0-1F91D2EF0A08}" uniqueName="11" name="falls after event" queryTableFieldId="11"/>
    <tableColumn id="12" xr3:uid="{713FE150-3427-4F56-9DE4-7881DEDF9D2A}" uniqueName="12" name="vel err after event" queryTableFieldId="12"/>
    <tableColumn id="13" xr3:uid="{A292F8E0-A54B-404C-92BE-9C6581CF01C0}" uniqueName="13" name="com shift (mm)" queryTableFieldId="13" dataDxfId="8"/>
    <tableColumn id="14" xr3:uid="{8D5C3929-7DD9-4271-9E9E-907BEE5D68A8}" uniqueName="14" name="worse than flat" queryTableFieldId="14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1E2B4B3-70E6-481F-881A-B20E0FB38FA2}" name="fase1_rough_walk" displayName="fase1_rough_walk" ref="P2:AC70" tableType="queryTable" totalsRowShown="0">
  <autoFilter ref="P2:AC70" xr:uid="{81E2B4B3-70E6-481F-881A-B20E0FB38FA2}"/>
  <tableColumns count="14">
    <tableColumn id="1" xr3:uid="{01C9FAEA-F4C7-47D7-BF74-9C30205EFD25}" uniqueName="1" name="policy" queryTableFieldId="1" dataDxfId="6"/>
    <tableColumn id="2" xr3:uid="{C41CA260-766E-40B3-BD9C-280EAADFE84A}" uniqueName="2" name="group" queryTableFieldId="2" dataDxfId="5"/>
    <tableColumn id="3" xr3:uid="{1A2B495B-54B6-4A04-B5EC-F56B824B5186}" uniqueName="3" name="condition" queryTableFieldId="3" dataDxfId="4"/>
    <tableColumn id="4" xr3:uid="{B0177835-5A5A-4D22-A74F-D676E41A7F70}" uniqueName="4" name="falls" queryTableFieldId="4" dataDxfId="3"/>
    <tableColumn id="5" xr3:uid="{92E63B27-0738-4267-A4BD-333F44144F24}" uniqueName="5" name="falls 95% CI (%)" queryTableFieldId="5" dataDxfId="2"/>
    <tableColumn id="6" xr3:uid="{9A4EC8F7-13BD-4EDF-B35E-FA4286F37B77}" uniqueName="6" name="completed" queryTableFieldId="6"/>
    <tableColumn id="7" xr3:uid="{E8369132-0668-4AE5-98AC-2E4CBCC7AA45}" uniqueName="7" name="vel err 1s (m/s)" queryTableFieldId="7"/>
    <tableColumn id="8" xr3:uid="{45C3B2C5-B175-4B18-A3F9-B80A1A72BC57}" uniqueName="8" name="speed (m/s)" queryTableFieldId="8"/>
    <tableColumn id="9" xr3:uid="{9987C741-04F5-484F-8092-E1D69768489D}" uniqueName="9" name="yaw rate (rad/s)" queryTableFieldId="9"/>
    <tableColumn id="10" xr3:uid="{74ACA567-5C75-4A9B-8596-620D1727254F}" uniqueName="10" name="power (W)" queryTableFieldId="10"/>
    <tableColumn id="11" xr3:uid="{AE362D40-714C-4E97-A374-D47E21A74015}" uniqueName="11" name="falls after event" queryTableFieldId="11"/>
    <tableColumn id="12" xr3:uid="{F0A37CB6-05F2-40B3-9992-29D1BB821A01}" uniqueName="12" name="vel err after event" queryTableFieldId="12"/>
    <tableColumn id="13" xr3:uid="{877B5A33-CE00-4472-A54E-768DD39BEB11}" uniqueName="13" name="com shift (mm)" queryTableFieldId="13" dataDxfId="1"/>
    <tableColumn id="14" xr3:uid="{962F40DB-1927-4CB0-B9B3-A12C0CD463C1}" uniqueName="14" name="worse than flat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7EDCB-5CAF-479A-87D3-342C45641633}">
  <dimension ref="A1:AC200"/>
  <sheetViews>
    <sheetView tabSelected="1" workbookViewId="0">
      <selection activeCell="G4" sqref="G4"/>
    </sheetView>
  </sheetViews>
  <sheetFormatPr defaultRowHeight="15" x14ac:dyDescent="0.25"/>
  <cols>
    <col min="1" max="1" width="26.85546875" bestFit="1" customWidth="1"/>
    <col min="2" max="2" width="9.5703125" bestFit="1" customWidth="1"/>
    <col min="3" max="3" width="24.7109375" bestFit="1" customWidth="1"/>
    <col min="4" max="4" width="7.140625" bestFit="1" customWidth="1"/>
    <col min="5" max="5" width="17.140625" bestFit="1" customWidth="1"/>
    <col min="6" max="6" width="13" bestFit="1" customWidth="1"/>
    <col min="7" max="7" width="16.85546875" bestFit="1" customWidth="1"/>
    <col min="8" max="8" width="14.140625" bestFit="1" customWidth="1"/>
    <col min="9" max="9" width="17.28515625" bestFit="1" customWidth="1"/>
    <col min="10" max="10" width="12.5703125" bestFit="1" customWidth="1"/>
    <col min="11" max="11" width="17.5703125" bestFit="1" customWidth="1"/>
    <col min="12" max="12" width="19.5703125" bestFit="1" customWidth="1"/>
    <col min="13" max="13" width="17.140625" bestFit="1" customWidth="1"/>
    <col min="14" max="14" width="16.7109375" bestFit="1" customWidth="1"/>
    <col min="16" max="16" width="13.140625" bestFit="1" customWidth="1"/>
    <col min="17" max="17" width="9.5703125" bestFit="1" customWidth="1"/>
    <col min="18" max="18" width="24.7109375" bestFit="1" customWidth="1"/>
    <col min="19" max="19" width="12.28515625" customWidth="1"/>
    <col min="20" max="20" width="17.140625" bestFit="1" customWidth="1"/>
    <col min="21" max="21" width="13" bestFit="1" customWidth="1"/>
    <col min="22" max="22" width="16.85546875" bestFit="1" customWidth="1"/>
    <col min="23" max="23" width="14.140625" bestFit="1" customWidth="1"/>
    <col min="24" max="24" width="17.28515625" bestFit="1" customWidth="1"/>
    <col min="25" max="25" width="12.5703125" bestFit="1" customWidth="1"/>
    <col min="29" max="29" width="16.7109375" bestFit="1" customWidth="1"/>
  </cols>
  <sheetData>
    <row r="1" spans="1:29" ht="36" x14ac:dyDescent="0.55000000000000004">
      <c r="A1" s="2" t="s">
        <v>134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P1" s="2" t="s">
        <v>1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x14ac:dyDescent="0.25">
      <c r="A2" t="s">
        <v>13</v>
      </c>
      <c r="B2" t="s">
        <v>14</v>
      </c>
      <c r="C2" t="s">
        <v>0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P2" t="s">
        <v>13</v>
      </c>
      <c r="Q2" t="s">
        <v>14</v>
      </c>
      <c r="R2" t="s">
        <v>0</v>
      </c>
      <c r="S2" t="s">
        <v>2</v>
      </c>
      <c r="T2" t="s">
        <v>3</v>
      </c>
      <c r="U2" t="s">
        <v>4</v>
      </c>
      <c r="V2" t="s">
        <v>5</v>
      </c>
      <c r="W2" t="s">
        <v>6</v>
      </c>
      <c r="X2" t="s">
        <v>7</v>
      </c>
      <c r="Y2" t="s">
        <v>8</v>
      </c>
      <c r="Z2" t="s">
        <v>9</v>
      </c>
      <c r="AA2" t="s">
        <v>10</v>
      </c>
      <c r="AB2" t="s">
        <v>11</v>
      </c>
      <c r="AC2" t="s">
        <v>12</v>
      </c>
    </row>
    <row r="3" spans="1:29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>
        <v>20</v>
      </c>
      <c r="G3">
        <v>198</v>
      </c>
      <c r="H3">
        <v>103</v>
      </c>
      <c r="I3">
        <v>0</v>
      </c>
      <c r="J3">
        <v>1117</v>
      </c>
      <c r="M3" t="s">
        <v>115</v>
      </c>
      <c r="N3" t="s">
        <v>115</v>
      </c>
      <c r="P3" t="s">
        <v>111</v>
      </c>
      <c r="Q3" t="s">
        <v>16</v>
      </c>
      <c r="R3" t="s">
        <v>17</v>
      </c>
      <c r="S3" t="s">
        <v>18</v>
      </c>
      <c r="T3" t="s">
        <v>19</v>
      </c>
      <c r="U3">
        <v>20</v>
      </c>
      <c r="V3">
        <v>175</v>
      </c>
      <c r="W3">
        <v>126</v>
      </c>
      <c r="X3">
        <v>39</v>
      </c>
      <c r="Y3">
        <v>1381</v>
      </c>
      <c r="AB3" t="s">
        <v>115</v>
      </c>
      <c r="AC3" t="s">
        <v>115</v>
      </c>
    </row>
    <row r="4" spans="1:29" x14ac:dyDescent="0.25">
      <c r="A4" t="s">
        <v>15</v>
      </c>
      <c r="B4" t="s">
        <v>20</v>
      </c>
      <c r="C4" t="s">
        <v>21</v>
      </c>
      <c r="D4" t="s">
        <v>18</v>
      </c>
      <c r="E4" t="s">
        <v>19</v>
      </c>
      <c r="F4">
        <v>20</v>
      </c>
      <c r="G4">
        <v>194</v>
      </c>
      <c r="H4">
        <v>107</v>
      </c>
      <c r="I4">
        <v>1</v>
      </c>
      <c r="J4">
        <v>111</v>
      </c>
      <c r="M4" t="s">
        <v>115</v>
      </c>
      <c r="N4" t="s">
        <v>115</v>
      </c>
      <c r="P4" t="s">
        <v>111</v>
      </c>
      <c r="Q4" t="s">
        <v>20</v>
      </c>
      <c r="R4" t="s">
        <v>21</v>
      </c>
      <c r="S4" t="s">
        <v>18</v>
      </c>
      <c r="T4" t="s">
        <v>19</v>
      </c>
      <c r="U4">
        <v>20</v>
      </c>
      <c r="V4">
        <v>174</v>
      </c>
      <c r="W4">
        <v>127</v>
      </c>
      <c r="X4">
        <v>31</v>
      </c>
      <c r="Y4">
        <v>1351</v>
      </c>
      <c r="AB4" t="s">
        <v>115</v>
      </c>
      <c r="AC4" t="s">
        <v>115</v>
      </c>
    </row>
    <row r="5" spans="1:29" x14ac:dyDescent="0.25">
      <c r="A5" t="s">
        <v>15</v>
      </c>
      <c r="B5" t="s">
        <v>20</v>
      </c>
      <c r="C5" t="s">
        <v>22</v>
      </c>
      <c r="D5" t="s">
        <v>116</v>
      </c>
      <c r="E5" t="s">
        <v>117</v>
      </c>
      <c r="F5">
        <v>19</v>
      </c>
      <c r="G5">
        <v>213</v>
      </c>
      <c r="H5">
        <v>88</v>
      </c>
      <c r="I5">
        <v>0</v>
      </c>
      <c r="J5">
        <v>1142</v>
      </c>
      <c r="M5" t="s">
        <v>115</v>
      </c>
      <c r="N5" t="s">
        <v>115</v>
      </c>
      <c r="P5" t="s">
        <v>111</v>
      </c>
      <c r="Q5" t="s">
        <v>20</v>
      </c>
      <c r="R5" t="s">
        <v>22</v>
      </c>
      <c r="S5" t="s">
        <v>18</v>
      </c>
      <c r="T5" t="s">
        <v>19</v>
      </c>
      <c r="U5">
        <v>20</v>
      </c>
      <c r="V5">
        <v>176</v>
      </c>
      <c r="W5">
        <v>124</v>
      </c>
      <c r="X5">
        <v>46</v>
      </c>
      <c r="Y5">
        <v>1408</v>
      </c>
      <c r="AB5" t="s">
        <v>115</v>
      </c>
      <c r="AC5" t="s">
        <v>115</v>
      </c>
    </row>
    <row r="6" spans="1:29" x14ac:dyDescent="0.25">
      <c r="A6" t="s">
        <v>15</v>
      </c>
      <c r="B6" t="s">
        <v>20</v>
      </c>
      <c r="C6" t="s">
        <v>23</v>
      </c>
      <c r="D6" t="s">
        <v>118</v>
      </c>
      <c r="E6" t="s">
        <v>119</v>
      </c>
      <c r="F6">
        <v>16</v>
      </c>
      <c r="G6">
        <v>203</v>
      </c>
      <c r="H6">
        <v>98</v>
      </c>
      <c r="I6">
        <v>6</v>
      </c>
      <c r="J6">
        <v>119</v>
      </c>
      <c r="M6" t="s">
        <v>115</v>
      </c>
      <c r="N6" t="s">
        <v>115</v>
      </c>
      <c r="P6" t="s">
        <v>111</v>
      </c>
      <c r="Q6" t="s">
        <v>20</v>
      </c>
      <c r="R6" t="s">
        <v>23</v>
      </c>
      <c r="S6" t="s">
        <v>116</v>
      </c>
      <c r="T6" t="s">
        <v>117</v>
      </c>
      <c r="U6">
        <v>19</v>
      </c>
      <c r="V6">
        <v>19</v>
      </c>
      <c r="W6">
        <v>111</v>
      </c>
      <c r="X6">
        <v>45</v>
      </c>
      <c r="Y6">
        <v>1399</v>
      </c>
      <c r="AB6" t="s">
        <v>115</v>
      </c>
      <c r="AC6" t="s">
        <v>115</v>
      </c>
    </row>
    <row r="7" spans="1:29" x14ac:dyDescent="0.25">
      <c r="A7" t="s">
        <v>15</v>
      </c>
      <c r="B7" t="s">
        <v>20</v>
      </c>
      <c r="C7" t="s">
        <v>24</v>
      </c>
      <c r="D7" t="s">
        <v>120</v>
      </c>
      <c r="E7" t="s">
        <v>25</v>
      </c>
      <c r="F7">
        <v>12</v>
      </c>
      <c r="G7">
        <v>211</v>
      </c>
      <c r="H7">
        <v>9</v>
      </c>
      <c r="I7">
        <v>-5</v>
      </c>
      <c r="J7">
        <v>1291</v>
      </c>
      <c r="M7" t="s">
        <v>115</v>
      </c>
      <c r="N7" t="s">
        <v>26</v>
      </c>
      <c r="P7" t="s">
        <v>111</v>
      </c>
      <c r="Q7" t="s">
        <v>20</v>
      </c>
      <c r="R7" t="s">
        <v>24</v>
      </c>
      <c r="S7" t="s">
        <v>135</v>
      </c>
      <c r="T7" t="s">
        <v>112</v>
      </c>
      <c r="U7">
        <v>14</v>
      </c>
      <c r="V7">
        <v>191</v>
      </c>
      <c r="W7">
        <v>11</v>
      </c>
      <c r="X7">
        <v>63</v>
      </c>
      <c r="Y7">
        <v>1498</v>
      </c>
      <c r="AB7" t="s">
        <v>115</v>
      </c>
      <c r="AC7" t="s">
        <v>115</v>
      </c>
    </row>
    <row r="8" spans="1:29" x14ac:dyDescent="0.25">
      <c r="A8" t="s">
        <v>15</v>
      </c>
      <c r="B8" t="s">
        <v>20</v>
      </c>
      <c r="C8" t="s">
        <v>27</v>
      </c>
      <c r="D8" t="s">
        <v>121</v>
      </c>
      <c r="E8" t="s">
        <v>28</v>
      </c>
      <c r="F8">
        <v>10</v>
      </c>
      <c r="G8">
        <v>208</v>
      </c>
      <c r="H8">
        <v>94</v>
      </c>
      <c r="I8">
        <v>-1</v>
      </c>
      <c r="J8">
        <v>1348</v>
      </c>
      <c r="M8" t="s">
        <v>115</v>
      </c>
      <c r="N8" t="s">
        <v>2</v>
      </c>
      <c r="P8" t="s">
        <v>111</v>
      </c>
      <c r="Q8" t="s">
        <v>20</v>
      </c>
      <c r="R8" t="s">
        <v>27</v>
      </c>
      <c r="S8" t="s">
        <v>136</v>
      </c>
      <c r="T8" t="s">
        <v>137</v>
      </c>
      <c r="U8">
        <v>15</v>
      </c>
      <c r="V8">
        <v>178</v>
      </c>
      <c r="W8">
        <v>123</v>
      </c>
      <c r="X8">
        <v>49</v>
      </c>
      <c r="Y8">
        <v>1414</v>
      </c>
      <c r="AB8" t="s">
        <v>115</v>
      </c>
      <c r="AC8" t="s">
        <v>115</v>
      </c>
    </row>
    <row r="9" spans="1:29" x14ac:dyDescent="0.25">
      <c r="A9" t="s">
        <v>15</v>
      </c>
      <c r="B9" t="s">
        <v>20</v>
      </c>
      <c r="C9" t="s">
        <v>29</v>
      </c>
      <c r="D9" t="s">
        <v>18</v>
      </c>
      <c r="E9" t="s">
        <v>19</v>
      </c>
      <c r="F9">
        <v>20</v>
      </c>
      <c r="G9">
        <v>173</v>
      </c>
      <c r="H9">
        <v>128</v>
      </c>
      <c r="I9">
        <v>2</v>
      </c>
      <c r="J9">
        <v>106</v>
      </c>
      <c r="M9" t="s">
        <v>115</v>
      </c>
      <c r="N9" t="s">
        <v>115</v>
      </c>
      <c r="P9" t="s">
        <v>111</v>
      </c>
      <c r="Q9" t="s">
        <v>20</v>
      </c>
      <c r="R9" t="s">
        <v>29</v>
      </c>
      <c r="S9" t="s">
        <v>18</v>
      </c>
      <c r="T9" t="s">
        <v>19</v>
      </c>
      <c r="U9">
        <v>20</v>
      </c>
      <c r="V9">
        <v>176</v>
      </c>
      <c r="W9">
        <v>125</v>
      </c>
      <c r="X9">
        <v>-29</v>
      </c>
      <c r="Y9">
        <v>1201</v>
      </c>
      <c r="AB9" t="s">
        <v>115</v>
      </c>
      <c r="AC9" t="s">
        <v>115</v>
      </c>
    </row>
    <row r="10" spans="1:29" x14ac:dyDescent="0.25">
      <c r="A10" t="s">
        <v>15</v>
      </c>
      <c r="B10" t="s">
        <v>20</v>
      </c>
      <c r="C10" t="s">
        <v>30</v>
      </c>
      <c r="D10" t="s">
        <v>18</v>
      </c>
      <c r="E10" t="s">
        <v>19</v>
      </c>
      <c r="F10">
        <v>20</v>
      </c>
      <c r="G10">
        <v>216</v>
      </c>
      <c r="H10">
        <v>85</v>
      </c>
      <c r="I10">
        <v>-4</v>
      </c>
      <c r="J10">
        <v>97</v>
      </c>
      <c r="M10" t="s">
        <v>115</v>
      </c>
      <c r="N10" t="s">
        <v>115</v>
      </c>
      <c r="P10" t="s">
        <v>111</v>
      </c>
      <c r="Q10" t="s">
        <v>20</v>
      </c>
      <c r="R10" t="s">
        <v>30</v>
      </c>
      <c r="S10" t="s">
        <v>18</v>
      </c>
      <c r="T10" t="s">
        <v>19</v>
      </c>
      <c r="U10">
        <v>20</v>
      </c>
      <c r="V10">
        <v>199</v>
      </c>
      <c r="W10">
        <v>102</v>
      </c>
      <c r="X10">
        <v>-24</v>
      </c>
      <c r="Y10">
        <v>1159</v>
      </c>
      <c r="AB10" t="s">
        <v>115</v>
      </c>
      <c r="AC10" t="s">
        <v>32</v>
      </c>
    </row>
    <row r="11" spans="1:29" x14ac:dyDescent="0.25">
      <c r="A11" t="s">
        <v>15</v>
      </c>
      <c r="B11" t="s">
        <v>20</v>
      </c>
      <c r="C11" t="s">
        <v>31</v>
      </c>
      <c r="D11" t="s">
        <v>122</v>
      </c>
      <c r="E11" t="s">
        <v>123</v>
      </c>
      <c r="F11">
        <v>17</v>
      </c>
      <c r="G11">
        <v>288</v>
      </c>
      <c r="H11">
        <v>13</v>
      </c>
      <c r="I11">
        <v>2</v>
      </c>
      <c r="J11">
        <v>867</v>
      </c>
      <c r="M11" t="s">
        <v>115</v>
      </c>
      <c r="N11" t="s">
        <v>32</v>
      </c>
      <c r="P11" t="s">
        <v>111</v>
      </c>
      <c r="Q11" t="s">
        <v>20</v>
      </c>
      <c r="R11" t="s">
        <v>31</v>
      </c>
      <c r="S11" t="s">
        <v>18</v>
      </c>
      <c r="T11" t="s">
        <v>19</v>
      </c>
      <c r="U11">
        <v>20</v>
      </c>
      <c r="V11">
        <v>288</v>
      </c>
      <c r="W11">
        <v>13</v>
      </c>
      <c r="X11">
        <v>-53</v>
      </c>
      <c r="Y11">
        <v>1019</v>
      </c>
      <c r="AB11" t="s">
        <v>115</v>
      </c>
      <c r="AC11" t="s">
        <v>32</v>
      </c>
    </row>
    <row r="12" spans="1:29" x14ac:dyDescent="0.25">
      <c r="A12" t="s">
        <v>15</v>
      </c>
      <c r="B12" t="s">
        <v>20</v>
      </c>
      <c r="C12" t="s">
        <v>33</v>
      </c>
      <c r="D12" t="s">
        <v>34</v>
      </c>
      <c r="E12" t="s">
        <v>35</v>
      </c>
      <c r="F12">
        <v>4</v>
      </c>
      <c r="G12">
        <v>3</v>
      </c>
      <c r="H12">
        <v>0</v>
      </c>
      <c r="I12">
        <v>6</v>
      </c>
      <c r="J12">
        <v>983</v>
      </c>
      <c r="M12" t="s">
        <v>115</v>
      </c>
      <c r="N12" t="s">
        <v>36</v>
      </c>
      <c r="P12" t="s">
        <v>111</v>
      </c>
      <c r="Q12" t="s">
        <v>20</v>
      </c>
      <c r="R12" t="s">
        <v>33</v>
      </c>
      <c r="S12" t="s">
        <v>18</v>
      </c>
      <c r="T12" t="s">
        <v>19</v>
      </c>
      <c r="U12">
        <v>20</v>
      </c>
      <c r="V12">
        <v>293</v>
      </c>
      <c r="W12">
        <v>7</v>
      </c>
      <c r="X12">
        <v>-26</v>
      </c>
      <c r="Y12">
        <v>1052</v>
      </c>
      <c r="AB12" t="s">
        <v>115</v>
      </c>
      <c r="AC12" t="s">
        <v>32</v>
      </c>
    </row>
    <row r="13" spans="1:29" x14ac:dyDescent="0.25">
      <c r="A13" t="s">
        <v>15</v>
      </c>
      <c r="B13" t="s">
        <v>20</v>
      </c>
      <c r="C13" t="s">
        <v>37</v>
      </c>
      <c r="D13" t="s">
        <v>38</v>
      </c>
      <c r="E13" t="s">
        <v>39</v>
      </c>
      <c r="F13">
        <v>5</v>
      </c>
      <c r="G13">
        <v>3</v>
      </c>
      <c r="H13">
        <v>0</v>
      </c>
      <c r="I13">
        <v>-25</v>
      </c>
      <c r="J13">
        <v>1067</v>
      </c>
      <c r="M13" t="s">
        <v>115</v>
      </c>
      <c r="N13" t="s">
        <v>36</v>
      </c>
      <c r="P13" t="s">
        <v>111</v>
      </c>
      <c r="Q13" t="s">
        <v>20</v>
      </c>
      <c r="R13" t="s">
        <v>37</v>
      </c>
      <c r="S13" t="s">
        <v>138</v>
      </c>
      <c r="T13" t="s">
        <v>139</v>
      </c>
      <c r="U13">
        <v>18</v>
      </c>
      <c r="V13">
        <v>298</v>
      </c>
      <c r="W13">
        <v>3</v>
      </c>
      <c r="X13">
        <v>-41</v>
      </c>
      <c r="Y13">
        <v>1184</v>
      </c>
      <c r="AB13" t="s">
        <v>115</v>
      </c>
      <c r="AC13" t="s">
        <v>32</v>
      </c>
    </row>
    <row r="14" spans="1:29" x14ac:dyDescent="0.25">
      <c r="A14" t="s">
        <v>15</v>
      </c>
      <c r="B14" t="s">
        <v>20</v>
      </c>
      <c r="C14" t="s">
        <v>40</v>
      </c>
      <c r="D14" t="s">
        <v>18</v>
      </c>
      <c r="E14" t="s">
        <v>19</v>
      </c>
      <c r="F14">
        <v>20</v>
      </c>
      <c r="G14">
        <v>172</v>
      </c>
      <c r="H14">
        <v>129</v>
      </c>
      <c r="I14">
        <v>1</v>
      </c>
      <c r="J14">
        <v>1081</v>
      </c>
      <c r="M14" t="s">
        <v>115</v>
      </c>
      <c r="N14" t="s">
        <v>115</v>
      </c>
      <c r="P14" t="s">
        <v>111</v>
      </c>
      <c r="Q14" t="s">
        <v>20</v>
      </c>
      <c r="R14" t="s">
        <v>40</v>
      </c>
      <c r="S14" t="s">
        <v>18</v>
      </c>
      <c r="T14" t="s">
        <v>19</v>
      </c>
      <c r="U14">
        <v>20</v>
      </c>
      <c r="V14">
        <v>172</v>
      </c>
      <c r="W14">
        <v>129</v>
      </c>
      <c r="X14">
        <v>-25</v>
      </c>
      <c r="Y14">
        <v>1215</v>
      </c>
      <c r="AB14" t="s">
        <v>115</v>
      </c>
      <c r="AC14" t="s">
        <v>115</v>
      </c>
    </row>
    <row r="15" spans="1:29" x14ac:dyDescent="0.25">
      <c r="A15" t="s">
        <v>15</v>
      </c>
      <c r="B15" t="s">
        <v>20</v>
      </c>
      <c r="C15" t="s">
        <v>41</v>
      </c>
      <c r="D15" t="s">
        <v>18</v>
      </c>
      <c r="E15" t="s">
        <v>19</v>
      </c>
      <c r="F15">
        <v>20</v>
      </c>
      <c r="G15">
        <v>173</v>
      </c>
      <c r="H15">
        <v>128</v>
      </c>
      <c r="I15">
        <v>0</v>
      </c>
      <c r="J15">
        <v>1074</v>
      </c>
      <c r="M15" t="s">
        <v>115</v>
      </c>
      <c r="N15" t="s">
        <v>115</v>
      </c>
      <c r="P15" t="s">
        <v>111</v>
      </c>
      <c r="Q15" t="s">
        <v>20</v>
      </c>
      <c r="R15" t="s">
        <v>41</v>
      </c>
      <c r="S15" t="s">
        <v>18</v>
      </c>
      <c r="T15" t="s">
        <v>19</v>
      </c>
      <c r="U15">
        <v>20</v>
      </c>
      <c r="V15">
        <v>174</v>
      </c>
      <c r="W15">
        <v>127</v>
      </c>
      <c r="X15">
        <v>-27</v>
      </c>
      <c r="Y15">
        <v>1201</v>
      </c>
      <c r="AB15" t="s">
        <v>115</v>
      </c>
      <c r="AC15" t="s">
        <v>115</v>
      </c>
    </row>
    <row r="16" spans="1:29" x14ac:dyDescent="0.25">
      <c r="A16" t="s">
        <v>15</v>
      </c>
      <c r="B16" t="s">
        <v>20</v>
      </c>
      <c r="C16" t="s">
        <v>42</v>
      </c>
      <c r="D16" t="s">
        <v>18</v>
      </c>
      <c r="E16" t="s">
        <v>19</v>
      </c>
      <c r="F16">
        <v>20</v>
      </c>
      <c r="G16">
        <v>175</v>
      </c>
      <c r="H16">
        <v>126</v>
      </c>
      <c r="I16">
        <v>-1</v>
      </c>
      <c r="J16">
        <v>1059</v>
      </c>
      <c r="M16" t="s">
        <v>115</v>
      </c>
      <c r="N16" t="s">
        <v>115</v>
      </c>
      <c r="P16" t="s">
        <v>111</v>
      </c>
      <c r="Q16" t="s">
        <v>20</v>
      </c>
      <c r="R16" t="s">
        <v>42</v>
      </c>
      <c r="S16" t="s">
        <v>18</v>
      </c>
      <c r="T16" t="s">
        <v>19</v>
      </c>
      <c r="U16">
        <v>20</v>
      </c>
      <c r="V16">
        <v>179</v>
      </c>
      <c r="W16">
        <v>122</v>
      </c>
      <c r="X16">
        <v>-31</v>
      </c>
      <c r="Y16">
        <v>1169</v>
      </c>
      <c r="AB16" t="s">
        <v>115</v>
      </c>
      <c r="AC16" t="s">
        <v>115</v>
      </c>
    </row>
    <row r="17" spans="1:29" x14ac:dyDescent="0.25">
      <c r="A17" t="s">
        <v>15</v>
      </c>
      <c r="B17" t="s">
        <v>20</v>
      </c>
      <c r="C17" t="s">
        <v>43</v>
      </c>
      <c r="D17" t="s">
        <v>18</v>
      </c>
      <c r="E17" t="s">
        <v>19</v>
      </c>
      <c r="F17">
        <v>20</v>
      </c>
      <c r="G17">
        <v>183</v>
      </c>
      <c r="H17">
        <v>119</v>
      </c>
      <c r="I17">
        <v>-3</v>
      </c>
      <c r="J17">
        <v>1053</v>
      </c>
      <c r="M17" t="s">
        <v>115</v>
      </c>
      <c r="N17" t="s">
        <v>115</v>
      </c>
      <c r="P17" t="s">
        <v>111</v>
      </c>
      <c r="Q17" t="s">
        <v>20</v>
      </c>
      <c r="R17" t="s">
        <v>43</v>
      </c>
      <c r="S17" t="s">
        <v>18</v>
      </c>
      <c r="T17" t="s">
        <v>19</v>
      </c>
      <c r="U17">
        <v>20</v>
      </c>
      <c r="V17">
        <v>186</v>
      </c>
      <c r="W17">
        <v>116</v>
      </c>
      <c r="X17">
        <v>-4</v>
      </c>
      <c r="Y17">
        <v>1157</v>
      </c>
      <c r="AB17" t="s">
        <v>115</v>
      </c>
      <c r="AC17" t="s">
        <v>115</v>
      </c>
    </row>
    <row r="18" spans="1:29" x14ac:dyDescent="0.25">
      <c r="A18" t="s">
        <v>15</v>
      </c>
      <c r="B18" t="s">
        <v>44</v>
      </c>
      <c r="C18" t="s">
        <v>45</v>
      </c>
      <c r="D18" t="s">
        <v>18</v>
      </c>
      <c r="E18" t="s">
        <v>19</v>
      </c>
      <c r="F18">
        <v>20</v>
      </c>
      <c r="G18">
        <v>142</v>
      </c>
      <c r="H18">
        <v>206</v>
      </c>
      <c r="I18">
        <v>3</v>
      </c>
      <c r="J18">
        <v>2922</v>
      </c>
      <c r="M18" t="s">
        <v>115</v>
      </c>
      <c r="N18" t="s">
        <v>46</v>
      </c>
      <c r="P18" t="s">
        <v>111</v>
      </c>
      <c r="Q18" t="s">
        <v>44</v>
      </c>
      <c r="R18" t="s">
        <v>45</v>
      </c>
      <c r="S18" t="s">
        <v>18</v>
      </c>
      <c r="T18" t="s">
        <v>19</v>
      </c>
      <c r="U18">
        <v>20</v>
      </c>
      <c r="V18">
        <v>179</v>
      </c>
      <c r="W18">
        <v>123</v>
      </c>
      <c r="X18">
        <v>182</v>
      </c>
      <c r="Y18">
        <v>1469</v>
      </c>
      <c r="AB18" t="s">
        <v>115</v>
      </c>
      <c r="AC18" t="s">
        <v>115</v>
      </c>
    </row>
    <row r="19" spans="1:29" x14ac:dyDescent="0.25">
      <c r="A19" t="s">
        <v>15</v>
      </c>
      <c r="B19" t="s">
        <v>44</v>
      </c>
      <c r="C19" t="s">
        <v>47</v>
      </c>
      <c r="D19" t="s">
        <v>18</v>
      </c>
      <c r="E19" t="s">
        <v>19</v>
      </c>
      <c r="F19">
        <v>20</v>
      </c>
      <c r="G19">
        <v>288</v>
      </c>
      <c r="H19">
        <v>13</v>
      </c>
      <c r="I19">
        <v>-2</v>
      </c>
      <c r="J19">
        <v>1239</v>
      </c>
      <c r="M19" t="s">
        <v>115</v>
      </c>
      <c r="N19" t="s">
        <v>48</v>
      </c>
      <c r="P19" t="s">
        <v>111</v>
      </c>
      <c r="Q19" t="s">
        <v>44</v>
      </c>
      <c r="R19" t="s">
        <v>47</v>
      </c>
      <c r="S19" t="s">
        <v>18</v>
      </c>
      <c r="T19" t="s">
        <v>19</v>
      </c>
      <c r="U19">
        <v>20</v>
      </c>
      <c r="V19">
        <v>276</v>
      </c>
      <c r="W19">
        <v>25</v>
      </c>
      <c r="X19">
        <v>7</v>
      </c>
      <c r="Y19">
        <v>1361</v>
      </c>
      <c r="AB19" t="s">
        <v>115</v>
      </c>
      <c r="AC19" t="s">
        <v>32</v>
      </c>
    </row>
    <row r="20" spans="1:29" x14ac:dyDescent="0.25">
      <c r="A20" t="s">
        <v>15</v>
      </c>
      <c r="B20" t="s">
        <v>44</v>
      </c>
      <c r="C20" t="s">
        <v>49</v>
      </c>
      <c r="D20" t="s">
        <v>34</v>
      </c>
      <c r="E20" t="s">
        <v>35</v>
      </c>
      <c r="F20">
        <v>4</v>
      </c>
      <c r="G20">
        <v>17</v>
      </c>
      <c r="H20">
        <v>248</v>
      </c>
      <c r="I20">
        <v>-2</v>
      </c>
      <c r="J20">
        <v>449</v>
      </c>
      <c r="M20" t="s">
        <v>115</v>
      </c>
      <c r="N20" t="s">
        <v>26</v>
      </c>
      <c r="P20" t="s">
        <v>111</v>
      </c>
      <c r="Q20" t="s">
        <v>44</v>
      </c>
      <c r="R20" t="s">
        <v>49</v>
      </c>
      <c r="S20" t="s">
        <v>116</v>
      </c>
      <c r="T20" t="s">
        <v>117</v>
      </c>
      <c r="U20">
        <v>19</v>
      </c>
      <c r="V20">
        <v>14</v>
      </c>
      <c r="W20">
        <v>168</v>
      </c>
      <c r="X20">
        <v>1</v>
      </c>
      <c r="Y20">
        <v>1892</v>
      </c>
      <c r="AB20" t="s">
        <v>115</v>
      </c>
      <c r="AC20" t="s">
        <v>46</v>
      </c>
    </row>
    <row r="21" spans="1:29" x14ac:dyDescent="0.25">
      <c r="A21" t="s">
        <v>15</v>
      </c>
      <c r="B21" t="s">
        <v>44</v>
      </c>
      <c r="C21" t="s">
        <v>50</v>
      </c>
      <c r="D21" t="s">
        <v>51</v>
      </c>
      <c r="E21" t="s">
        <v>52</v>
      </c>
      <c r="F21">
        <v>2</v>
      </c>
      <c r="G21">
        <v>302</v>
      </c>
      <c r="H21">
        <v>-1</v>
      </c>
      <c r="I21">
        <v>6</v>
      </c>
      <c r="J21">
        <v>1283</v>
      </c>
      <c r="M21" t="s">
        <v>115</v>
      </c>
      <c r="N21" t="s">
        <v>2</v>
      </c>
      <c r="P21" t="s">
        <v>111</v>
      </c>
      <c r="Q21" t="s">
        <v>44</v>
      </c>
      <c r="R21" t="s">
        <v>50</v>
      </c>
      <c r="S21" t="s">
        <v>140</v>
      </c>
      <c r="T21" t="s">
        <v>113</v>
      </c>
      <c r="U21">
        <v>9</v>
      </c>
      <c r="V21">
        <v>222</v>
      </c>
      <c r="W21">
        <v>85</v>
      </c>
      <c r="X21">
        <v>7</v>
      </c>
      <c r="Y21">
        <v>1685</v>
      </c>
      <c r="AB21" t="s">
        <v>115</v>
      </c>
      <c r="AC21" t="s">
        <v>114</v>
      </c>
    </row>
    <row r="22" spans="1:29" x14ac:dyDescent="0.25">
      <c r="A22" t="s">
        <v>15</v>
      </c>
      <c r="B22" t="s">
        <v>44</v>
      </c>
      <c r="C22" t="s">
        <v>53</v>
      </c>
      <c r="D22" t="s">
        <v>54</v>
      </c>
      <c r="E22" t="s">
        <v>55</v>
      </c>
      <c r="F22">
        <v>0</v>
      </c>
      <c r="M22" t="s">
        <v>115</v>
      </c>
      <c r="N22" t="s">
        <v>2</v>
      </c>
      <c r="P22" t="s">
        <v>111</v>
      </c>
      <c r="Q22" t="s">
        <v>44</v>
      </c>
      <c r="R22" t="s">
        <v>53</v>
      </c>
      <c r="S22" t="s">
        <v>124</v>
      </c>
      <c r="T22" t="s">
        <v>71</v>
      </c>
      <c r="U22">
        <v>8</v>
      </c>
      <c r="V22">
        <v>124</v>
      </c>
      <c r="W22">
        <v>226</v>
      </c>
      <c r="X22">
        <v>33</v>
      </c>
      <c r="Y22">
        <v>3293</v>
      </c>
      <c r="AB22" t="s">
        <v>115</v>
      </c>
      <c r="AC22" t="s">
        <v>26</v>
      </c>
    </row>
    <row r="23" spans="1:29" x14ac:dyDescent="0.25">
      <c r="A23" t="s">
        <v>15</v>
      </c>
      <c r="B23" t="s">
        <v>44</v>
      </c>
      <c r="C23" t="s">
        <v>56</v>
      </c>
      <c r="D23" t="s">
        <v>54</v>
      </c>
      <c r="E23" t="s">
        <v>55</v>
      </c>
      <c r="F23">
        <v>0</v>
      </c>
      <c r="M23" t="s">
        <v>115</v>
      </c>
      <c r="N23" t="s">
        <v>2</v>
      </c>
      <c r="P23" t="s">
        <v>111</v>
      </c>
      <c r="Q23" t="s">
        <v>44</v>
      </c>
      <c r="R23" t="s">
        <v>56</v>
      </c>
      <c r="S23" t="s">
        <v>54</v>
      </c>
      <c r="T23" t="s">
        <v>55</v>
      </c>
      <c r="U23">
        <v>0</v>
      </c>
      <c r="AB23" t="s">
        <v>115</v>
      </c>
      <c r="AC23" t="s">
        <v>2</v>
      </c>
    </row>
    <row r="24" spans="1:29" x14ac:dyDescent="0.25">
      <c r="A24" t="s">
        <v>15</v>
      </c>
      <c r="B24" t="s">
        <v>44</v>
      </c>
      <c r="C24" t="s">
        <v>57</v>
      </c>
      <c r="D24" t="s">
        <v>54</v>
      </c>
      <c r="E24" t="s">
        <v>55</v>
      </c>
      <c r="F24">
        <v>0</v>
      </c>
      <c r="M24" t="s">
        <v>115</v>
      </c>
      <c r="N24" t="s">
        <v>2</v>
      </c>
      <c r="P24" t="s">
        <v>111</v>
      </c>
      <c r="Q24" t="s">
        <v>44</v>
      </c>
      <c r="R24" t="s">
        <v>57</v>
      </c>
      <c r="S24" t="s">
        <v>54</v>
      </c>
      <c r="T24" t="s">
        <v>55</v>
      </c>
      <c r="U24">
        <v>0</v>
      </c>
      <c r="AB24" t="s">
        <v>115</v>
      </c>
      <c r="AC24" t="s">
        <v>2</v>
      </c>
    </row>
    <row r="25" spans="1:29" x14ac:dyDescent="0.25">
      <c r="A25" t="s">
        <v>15</v>
      </c>
      <c r="B25" t="s">
        <v>44</v>
      </c>
      <c r="C25" t="s">
        <v>58</v>
      </c>
      <c r="D25" t="s">
        <v>54</v>
      </c>
      <c r="E25" t="s">
        <v>55</v>
      </c>
      <c r="F25">
        <v>0</v>
      </c>
      <c r="M25" t="s">
        <v>115</v>
      </c>
      <c r="N25" t="s">
        <v>2</v>
      </c>
      <c r="P25" t="s">
        <v>111</v>
      </c>
      <c r="Q25" t="s">
        <v>44</v>
      </c>
      <c r="R25" t="s">
        <v>58</v>
      </c>
      <c r="S25" t="s">
        <v>54</v>
      </c>
      <c r="T25" t="s">
        <v>55</v>
      </c>
      <c r="U25">
        <v>0</v>
      </c>
      <c r="AB25" t="s">
        <v>115</v>
      </c>
      <c r="AC25" t="s">
        <v>2</v>
      </c>
    </row>
    <row r="26" spans="1:29" x14ac:dyDescent="0.25">
      <c r="A26" t="s">
        <v>15</v>
      </c>
      <c r="B26" t="s">
        <v>44</v>
      </c>
      <c r="C26" t="s">
        <v>59</v>
      </c>
      <c r="D26" t="s">
        <v>54</v>
      </c>
      <c r="E26" t="s">
        <v>55</v>
      </c>
      <c r="F26">
        <v>0</v>
      </c>
      <c r="M26" t="s">
        <v>115</v>
      </c>
      <c r="N26" t="s">
        <v>2</v>
      </c>
      <c r="P26" t="s">
        <v>111</v>
      </c>
      <c r="Q26" t="s">
        <v>44</v>
      </c>
      <c r="R26" t="s">
        <v>59</v>
      </c>
      <c r="S26" t="s">
        <v>54</v>
      </c>
      <c r="T26" t="s">
        <v>55</v>
      </c>
      <c r="U26">
        <v>0</v>
      </c>
      <c r="AB26" t="s">
        <v>115</v>
      </c>
      <c r="AC26" t="s">
        <v>2</v>
      </c>
    </row>
    <row r="27" spans="1:29" x14ac:dyDescent="0.25">
      <c r="A27" t="s">
        <v>15</v>
      </c>
      <c r="B27" t="s">
        <v>44</v>
      </c>
      <c r="C27" t="s">
        <v>60</v>
      </c>
      <c r="D27" t="s">
        <v>54</v>
      </c>
      <c r="E27" t="s">
        <v>55</v>
      </c>
      <c r="F27">
        <v>0</v>
      </c>
      <c r="M27" t="s">
        <v>115</v>
      </c>
      <c r="N27" t="s">
        <v>2</v>
      </c>
      <c r="P27" t="s">
        <v>111</v>
      </c>
      <c r="Q27" t="s">
        <v>44</v>
      </c>
      <c r="R27" t="s">
        <v>60</v>
      </c>
      <c r="S27" t="s">
        <v>54</v>
      </c>
      <c r="T27" t="s">
        <v>55</v>
      </c>
      <c r="U27">
        <v>0</v>
      </c>
      <c r="AB27" t="s">
        <v>115</v>
      </c>
      <c r="AC27" t="s">
        <v>2</v>
      </c>
    </row>
    <row r="28" spans="1:29" x14ac:dyDescent="0.25">
      <c r="A28" t="s">
        <v>15</v>
      </c>
      <c r="B28" t="s">
        <v>61</v>
      </c>
      <c r="C28" t="s">
        <v>62</v>
      </c>
      <c r="D28" t="s">
        <v>18</v>
      </c>
      <c r="E28" t="s">
        <v>19</v>
      </c>
      <c r="F28">
        <v>20</v>
      </c>
      <c r="G28">
        <v>142</v>
      </c>
      <c r="H28">
        <v>159</v>
      </c>
      <c r="I28">
        <v>0</v>
      </c>
      <c r="J28">
        <v>1363</v>
      </c>
      <c r="M28" t="s">
        <v>115</v>
      </c>
      <c r="N28" t="s">
        <v>46</v>
      </c>
      <c r="P28" t="s">
        <v>111</v>
      </c>
      <c r="Q28" t="s">
        <v>61</v>
      </c>
      <c r="R28" t="s">
        <v>62</v>
      </c>
      <c r="S28" t="s">
        <v>18</v>
      </c>
      <c r="T28" t="s">
        <v>19</v>
      </c>
      <c r="U28">
        <v>20</v>
      </c>
      <c r="V28">
        <v>133</v>
      </c>
      <c r="W28">
        <v>168</v>
      </c>
      <c r="X28">
        <v>6</v>
      </c>
      <c r="Y28">
        <v>1429</v>
      </c>
      <c r="AB28" t="s">
        <v>115</v>
      </c>
      <c r="AC28" t="s">
        <v>115</v>
      </c>
    </row>
    <row r="29" spans="1:29" x14ac:dyDescent="0.25">
      <c r="A29" t="s">
        <v>15</v>
      </c>
      <c r="B29" t="s">
        <v>61</v>
      </c>
      <c r="C29" t="s">
        <v>63</v>
      </c>
      <c r="D29" t="s">
        <v>118</v>
      </c>
      <c r="E29" t="s">
        <v>119</v>
      </c>
      <c r="F29">
        <v>16</v>
      </c>
      <c r="G29">
        <v>131</v>
      </c>
      <c r="H29">
        <v>207</v>
      </c>
      <c r="I29">
        <v>2</v>
      </c>
      <c r="J29">
        <v>2714</v>
      </c>
      <c r="M29" t="s">
        <v>115</v>
      </c>
      <c r="N29" t="s">
        <v>46</v>
      </c>
      <c r="P29" t="s">
        <v>111</v>
      </c>
      <c r="Q29" t="s">
        <v>61</v>
      </c>
      <c r="R29" t="s">
        <v>63</v>
      </c>
      <c r="S29" t="s">
        <v>18</v>
      </c>
      <c r="T29" t="s">
        <v>19</v>
      </c>
      <c r="U29">
        <v>20</v>
      </c>
      <c r="V29">
        <v>114</v>
      </c>
      <c r="W29">
        <v>187</v>
      </c>
      <c r="X29">
        <v>12</v>
      </c>
      <c r="Y29">
        <v>1558</v>
      </c>
      <c r="AB29" t="s">
        <v>115</v>
      </c>
      <c r="AC29" t="s">
        <v>46</v>
      </c>
    </row>
    <row r="30" spans="1:29" x14ac:dyDescent="0.25">
      <c r="A30" t="s">
        <v>15</v>
      </c>
      <c r="B30" t="s">
        <v>61</v>
      </c>
      <c r="C30" t="s">
        <v>64</v>
      </c>
      <c r="D30" t="s">
        <v>38</v>
      </c>
      <c r="E30" t="s">
        <v>39</v>
      </c>
      <c r="F30">
        <v>5</v>
      </c>
      <c r="G30">
        <v>173</v>
      </c>
      <c r="H30">
        <v>257</v>
      </c>
      <c r="I30">
        <v>-3</v>
      </c>
      <c r="J30">
        <v>4711</v>
      </c>
      <c r="M30" t="s">
        <v>115</v>
      </c>
      <c r="N30" t="s">
        <v>26</v>
      </c>
      <c r="P30" t="s">
        <v>111</v>
      </c>
      <c r="Q30" t="s">
        <v>61</v>
      </c>
      <c r="R30" t="s">
        <v>64</v>
      </c>
      <c r="S30" t="s">
        <v>18</v>
      </c>
      <c r="T30" t="s">
        <v>19</v>
      </c>
      <c r="U30">
        <v>20</v>
      </c>
      <c r="V30">
        <v>99</v>
      </c>
      <c r="W30">
        <v>215</v>
      </c>
      <c r="X30">
        <v>12</v>
      </c>
      <c r="Y30">
        <v>2175</v>
      </c>
      <c r="AB30" t="s">
        <v>115</v>
      </c>
      <c r="AC30" t="s">
        <v>46</v>
      </c>
    </row>
    <row r="31" spans="1:29" x14ac:dyDescent="0.25">
      <c r="A31" t="s">
        <v>15</v>
      </c>
      <c r="B31" t="s">
        <v>61</v>
      </c>
      <c r="C31" t="s">
        <v>65</v>
      </c>
      <c r="D31" t="s">
        <v>54</v>
      </c>
      <c r="E31" t="s">
        <v>55</v>
      </c>
      <c r="F31">
        <v>0</v>
      </c>
      <c r="M31" t="s">
        <v>115</v>
      </c>
      <c r="N31" t="s">
        <v>2</v>
      </c>
      <c r="P31" t="s">
        <v>111</v>
      </c>
      <c r="Q31" t="s">
        <v>61</v>
      </c>
      <c r="R31" t="s">
        <v>65</v>
      </c>
      <c r="S31" t="s">
        <v>138</v>
      </c>
      <c r="T31" t="s">
        <v>139</v>
      </c>
      <c r="U31">
        <v>18</v>
      </c>
      <c r="V31">
        <v>128</v>
      </c>
      <c r="W31">
        <v>249</v>
      </c>
      <c r="X31">
        <v>27</v>
      </c>
      <c r="Y31">
        <v>3221</v>
      </c>
      <c r="AB31" t="s">
        <v>115</v>
      </c>
      <c r="AC31" t="s">
        <v>46</v>
      </c>
    </row>
    <row r="32" spans="1:29" x14ac:dyDescent="0.25">
      <c r="A32" t="s">
        <v>15</v>
      </c>
      <c r="B32" t="s">
        <v>61</v>
      </c>
      <c r="C32" t="s">
        <v>66</v>
      </c>
      <c r="D32" t="s">
        <v>18</v>
      </c>
      <c r="E32" t="s">
        <v>19</v>
      </c>
      <c r="F32">
        <v>20</v>
      </c>
      <c r="G32">
        <v>177</v>
      </c>
      <c r="H32">
        <v>124</v>
      </c>
      <c r="I32">
        <v>2</v>
      </c>
      <c r="J32">
        <v>1098</v>
      </c>
      <c r="M32" t="s">
        <v>115</v>
      </c>
      <c r="N32" t="s">
        <v>115</v>
      </c>
      <c r="P32" t="s">
        <v>111</v>
      </c>
      <c r="Q32" t="s">
        <v>61</v>
      </c>
      <c r="R32" t="s">
        <v>66</v>
      </c>
      <c r="S32" t="s">
        <v>18</v>
      </c>
      <c r="T32" t="s">
        <v>19</v>
      </c>
      <c r="U32">
        <v>20</v>
      </c>
      <c r="V32">
        <v>169</v>
      </c>
      <c r="W32">
        <v>131</v>
      </c>
      <c r="X32">
        <v>-6</v>
      </c>
      <c r="Y32">
        <v>1258</v>
      </c>
      <c r="AB32" t="s">
        <v>115</v>
      </c>
      <c r="AC32" t="s">
        <v>115</v>
      </c>
    </row>
    <row r="33" spans="1:29" x14ac:dyDescent="0.25">
      <c r="A33" t="s">
        <v>15</v>
      </c>
      <c r="B33" t="s">
        <v>61</v>
      </c>
      <c r="C33" t="s">
        <v>67</v>
      </c>
      <c r="D33" t="s">
        <v>18</v>
      </c>
      <c r="E33" t="s">
        <v>19</v>
      </c>
      <c r="F33">
        <v>20</v>
      </c>
      <c r="G33">
        <v>176</v>
      </c>
      <c r="H33">
        <v>124</v>
      </c>
      <c r="I33">
        <v>-2</v>
      </c>
      <c r="J33">
        <v>1106</v>
      </c>
      <c r="M33" t="s">
        <v>115</v>
      </c>
      <c r="N33" t="s">
        <v>115</v>
      </c>
      <c r="P33" t="s">
        <v>111</v>
      </c>
      <c r="Q33" t="s">
        <v>61</v>
      </c>
      <c r="R33" t="s">
        <v>67</v>
      </c>
      <c r="S33" t="s">
        <v>18</v>
      </c>
      <c r="T33" t="s">
        <v>19</v>
      </c>
      <c r="U33">
        <v>20</v>
      </c>
      <c r="V33">
        <v>169</v>
      </c>
      <c r="W33">
        <v>131</v>
      </c>
      <c r="X33">
        <v>-8</v>
      </c>
      <c r="Y33">
        <v>1268</v>
      </c>
      <c r="AB33" t="s">
        <v>115</v>
      </c>
      <c r="AC33" t="s">
        <v>115</v>
      </c>
    </row>
    <row r="34" spans="1:29" x14ac:dyDescent="0.25">
      <c r="A34" t="s">
        <v>15</v>
      </c>
      <c r="B34" t="s">
        <v>61</v>
      </c>
      <c r="C34" t="s">
        <v>68</v>
      </c>
      <c r="D34" t="s">
        <v>18</v>
      </c>
      <c r="E34" t="s">
        <v>19</v>
      </c>
      <c r="F34">
        <v>20</v>
      </c>
      <c r="G34">
        <v>138</v>
      </c>
      <c r="H34">
        <v>163</v>
      </c>
      <c r="I34">
        <v>2</v>
      </c>
      <c r="J34">
        <v>1333</v>
      </c>
      <c r="M34" t="s">
        <v>115</v>
      </c>
      <c r="N34" t="s">
        <v>46</v>
      </c>
      <c r="P34" t="s">
        <v>111</v>
      </c>
      <c r="Q34" t="s">
        <v>61</v>
      </c>
      <c r="R34" t="s">
        <v>68</v>
      </c>
      <c r="S34" t="s">
        <v>18</v>
      </c>
      <c r="T34" t="s">
        <v>19</v>
      </c>
      <c r="U34">
        <v>20</v>
      </c>
      <c r="V34">
        <v>128</v>
      </c>
      <c r="W34">
        <v>173</v>
      </c>
      <c r="X34">
        <v>5</v>
      </c>
      <c r="Y34">
        <v>1451</v>
      </c>
      <c r="AB34" t="s">
        <v>115</v>
      </c>
      <c r="AC34" t="s">
        <v>115</v>
      </c>
    </row>
    <row r="35" spans="1:29" x14ac:dyDescent="0.25">
      <c r="A35" t="s">
        <v>15</v>
      </c>
      <c r="B35" t="s">
        <v>61</v>
      </c>
      <c r="C35" t="s">
        <v>69</v>
      </c>
      <c r="D35" t="s">
        <v>18</v>
      </c>
      <c r="E35" t="s">
        <v>19</v>
      </c>
      <c r="F35">
        <v>20</v>
      </c>
      <c r="G35">
        <v>2</v>
      </c>
      <c r="H35">
        <v>1</v>
      </c>
      <c r="I35">
        <v>4</v>
      </c>
      <c r="J35">
        <v>1023</v>
      </c>
      <c r="M35" t="s">
        <v>115</v>
      </c>
      <c r="N35" t="s">
        <v>115</v>
      </c>
      <c r="P35" t="s">
        <v>111</v>
      </c>
      <c r="Q35" t="s">
        <v>61</v>
      </c>
      <c r="R35" t="s">
        <v>69</v>
      </c>
      <c r="S35" t="s">
        <v>18</v>
      </c>
      <c r="T35" t="s">
        <v>19</v>
      </c>
      <c r="U35">
        <v>20</v>
      </c>
      <c r="V35">
        <v>204</v>
      </c>
      <c r="W35">
        <v>97</v>
      </c>
      <c r="X35">
        <v>-25</v>
      </c>
      <c r="Y35">
        <v>1129</v>
      </c>
      <c r="AB35" t="s">
        <v>115</v>
      </c>
      <c r="AC35" t="s">
        <v>32</v>
      </c>
    </row>
    <row r="36" spans="1:29" x14ac:dyDescent="0.25">
      <c r="A36" t="s">
        <v>15</v>
      </c>
      <c r="B36" t="s">
        <v>61</v>
      </c>
      <c r="C36" t="s">
        <v>70</v>
      </c>
      <c r="D36" t="s">
        <v>124</v>
      </c>
      <c r="E36" t="s">
        <v>71</v>
      </c>
      <c r="F36">
        <v>8</v>
      </c>
      <c r="G36">
        <v>108</v>
      </c>
      <c r="H36">
        <v>194</v>
      </c>
      <c r="I36">
        <v>5</v>
      </c>
      <c r="J36">
        <v>2335</v>
      </c>
      <c r="M36" t="s">
        <v>115</v>
      </c>
      <c r="N36" t="s">
        <v>26</v>
      </c>
      <c r="P36" t="s">
        <v>111</v>
      </c>
      <c r="Q36" t="s">
        <v>61</v>
      </c>
      <c r="R36" t="s">
        <v>70</v>
      </c>
      <c r="S36" t="s">
        <v>18</v>
      </c>
      <c r="T36" t="s">
        <v>19</v>
      </c>
      <c r="U36">
        <v>20</v>
      </c>
      <c r="V36">
        <v>99</v>
      </c>
      <c r="W36">
        <v>202</v>
      </c>
      <c r="X36">
        <v>17</v>
      </c>
      <c r="Y36">
        <v>1619</v>
      </c>
      <c r="AB36" t="s">
        <v>115</v>
      </c>
      <c r="AC36" t="s">
        <v>46</v>
      </c>
    </row>
    <row r="37" spans="1:29" x14ac:dyDescent="0.25">
      <c r="A37" t="s">
        <v>15</v>
      </c>
      <c r="B37" t="s">
        <v>61</v>
      </c>
      <c r="C37" t="s">
        <v>72</v>
      </c>
      <c r="D37" t="s">
        <v>18</v>
      </c>
      <c r="E37" t="s">
        <v>19</v>
      </c>
      <c r="F37">
        <v>20</v>
      </c>
      <c r="G37">
        <v>23</v>
      </c>
      <c r="H37">
        <v>71</v>
      </c>
      <c r="I37">
        <v>12</v>
      </c>
      <c r="J37">
        <v>939</v>
      </c>
      <c r="M37" t="s">
        <v>115</v>
      </c>
      <c r="N37" t="s">
        <v>32</v>
      </c>
      <c r="P37" t="s">
        <v>111</v>
      </c>
      <c r="Q37" t="s">
        <v>61</v>
      </c>
      <c r="R37" t="s">
        <v>72</v>
      </c>
      <c r="S37" t="s">
        <v>18</v>
      </c>
      <c r="T37" t="s">
        <v>19</v>
      </c>
      <c r="U37">
        <v>20</v>
      </c>
      <c r="V37">
        <v>23</v>
      </c>
      <c r="W37">
        <v>73</v>
      </c>
      <c r="X37">
        <v>-3</v>
      </c>
      <c r="Y37">
        <v>103</v>
      </c>
      <c r="AB37" t="s">
        <v>115</v>
      </c>
      <c r="AC37" t="s">
        <v>32</v>
      </c>
    </row>
    <row r="38" spans="1:29" x14ac:dyDescent="0.25">
      <c r="A38" t="s">
        <v>15</v>
      </c>
      <c r="B38" t="s">
        <v>61</v>
      </c>
      <c r="C38" t="s">
        <v>73</v>
      </c>
      <c r="D38" t="s">
        <v>54</v>
      </c>
      <c r="E38" t="s">
        <v>55</v>
      </c>
      <c r="F38">
        <v>0</v>
      </c>
      <c r="M38" t="s">
        <v>115</v>
      </c>
      <c r="N38" t="s">
        <v>2</v>
      </c>
      <c r="P38" t="s">
        <v>111</v>
      </c>
      <c r="Q38" t="s">
        <v>61</v>
      </c>
      <c r="R38" t="s">
        <v>73</v>
      </c>
      <c r="S38" t="s">
        <v>18</v>
      </c>
      <c r="T38" t="s">
        <v>19</v>
      </c>
      <c r="U38">
        <v>20</v>
      </c>
      <c r="V38">
        <v>68</v>
      </c>
      <c r="W38">
        <v>267</v>
      </c>
      <c r="X38">
        <v>7</v>
      </c>
      <c r="Y38">
        <v>3344</v>
      </c>
      <c r="AB38" t="s">
        <v>115</v>
      </c>
      <c r="AC38" t="s">
        <v>46</v>
      </c>
    </row>
    <row r="39" spans="1:29" x14ac:dyDescent="0.25">
      <c r="A39" t="s">
        <v>15</v>
      </c>
      <c r="B39" t="s">
        <v>61</v>
      </c>
      <c r="C39" t="s">
        <v>74</v>
      </c>
      <c r="D39" t="s">
        <v>18</v>
      </c>
      <c r="E39" t="s">
        <v>19</v>
      </c>
      <c r="F39">
        <v>20</v>
      </c>
      <c r="G39">
        <v>267</v>
      </c>
      <c r="H39">
        <v>33</v>
      </c>
      <c r="I39">
        <v>1</v>
      </c>
      <c r="J39">
        <v>856</v>
      </c>
      <c r="M39" t="s">
        <v>115</v>
      </c>
      <c r="N39" t="s">
        <v>32</v>
      </c>
      <c r="P39" t="s">
        <v>111</v>
      </c>
      <c r="Q39" t="s">
        <v>61</v>
      </c>
      <c r="R39" t="s">
        <v>74</v>
      </c>
      <c r="S39" t="s">
        <v>18</v>
      </c>
      <c r="T39" t="s">
        <v>19</v>
      </c>
      <c r="U39">
        <v>20</v>
      </c>
      <c r="V39">
        <v>254</v>
      </c>
      <c r="W39">
        <v>51</v>
      </c>
      <c r="X39">
        <v>-38</v>
      </c>
      <c r="Y39">
        <v>934</v>
      </c>
      <c r="AB39" t="s">
        <v>115</v>
      </c>
      <c r="AC39" t="s">
        <v>32</v>
      </c>
    </row>
    <row r="40" spans="1:29" x14ac:dyDescent="0.25">
      <c r="A40" t="s">
        <v>15</v>
      </c>
      <c r="B40" t="s">
        <v>61</v>
      </c>
      <c r="C40" t="s">
        <v>75</v>
      </c>
      <c r="D40" t="s">
        <v>54</v>
      </c>
      <c r="E40" t="s">
        <v>55</v>
      </c>
      <c r="F40">
        <v>0</v>
      </c>
      <c r="M40" t="s">
        <v>115</v>
      </c>
      <c r="N40" t="s">
        <v>2</v>
      </c>
      <c r="P40" t="s">
        <v>111</v>
      </c>
      <c r="Q40" t="s">
        <v>61</v>
      </c>
      <c r="R40" t="s">
        <v>75</v>
      </c>
      <c r="S40" t="s">
        <v>122</v>
      </c>
      <c r="T40" t="s">
        <v>123</v>
      </c>
      <c r="U40">
        <v>17</v>
      </c>
      <c r="V40">
        <v>218</v>
      </c>
      <c r="W40">
        <v>515</v>
      </c>
      <c r="X40">
        <v>-8</v>
      </c>
      <c r="Y40">
        <v>9042</v>
      </c>
      <c r="AB40" t="s">
        <v>115</v>
      </c>
      <c r="AC40" t="s">
        <v>48</v>
      </c>
    </row>
    <row r="41" spans="1:29" x14ac:dyDescent="0.25">
      <c r="A41" t="s">
        <v>15</v>
      </c>
      <c r="B41" t="s">
        <v>61</v>
      </c>
      <c r="C41" t="s">
        <v>76</v>
      </c>
      <c r="D41" t="s">
        <v>116</v>
      </c>
      <c r="E41" t="s">
        <v>117</v>
      </c>
      <c r="F41">
        <v>19</v>
      </c>
      <c r="G41">
        <v>302</v>
      </c>
      <c r="H41">
        <v>-1</v>
      </c>
      <c r="I41">
        <v>15</v>
      </c>
      <c r="J41">
        <v>809</v>
      </c>
      <c r="M41" t="s">
        <v>115</v>
      </c>
      <c r="N41" t="s">
        <v>32</v>
      </c>
      <c r="P41" t="s">
        <v>111</v>
      </c>
      <c r="Q41" t="s">
        <v>61</v>
      </c>
      <c r="R41" t="s">
        <v>76</v>
      </c>
      <c r="S41" t="s">
        <v>138</v>
      </c>
      <c r="T41" t="s">
        <v>139</v>
      </c>
      <c r="U41">
        <v>18</v>
      </c>
      <c r="V41">
        <v>262</v>
      </c>
      <c r="W41">
        <v>135</v>
      </c>
      <c r="X41">
        <v>-14</v>
      </c>
      <c r="Y41">
        <v>2929</v>
      </c>
      <c r="AB41" t="s">
        <v>115</v>
      </c>
      <c r="AC41" t="s">
        <v>48</v>
      </c>
    </row>
    <row r="42" spans="1:29" x14ac:dyDescent="0.25">
      <c r="A42" t="s">
        <v>15</v>
      </c>
      <c r="B42" t="s">
        <v>61</v>
      </c>
      <c r="C42" t="s">
        <v>77</v>
      </c>
      <c r="D42" t="s">
        <v>54</v>
      </c>
      <c r="E42" t="s">
        <v>55</v>
      </c>
      <c r="F42">
        <v>0</v>
      </c>
      <c r="M42" t="s">
        <v>115</v>
      </c>
      <c r="N42" t="s">
        <v>2</v>
      </c>
      <c r="P42" t="s">
        <v>111</v>
      </c>
      <c r="Q42" t="s">
        <v>61</v>
      </c>
      <c r="R42" t="s">
        <v>77</v>
      </c>
      <c r="S42" t="s">
        <v>54</v>
      </c>
      <c r="T42" t="s">
        <v>55</v>
      </c>
      <c r="U42">
        <v>0</v>
      </c>
      <c r="AB42" t="s">
        <v>115</v>
      </c>
      <c r="AC42" t="s">
        <v>2</v>
      </c>
    </row>
    <row r="43" spans="1:29" x14ac:dyDescent="0.25">
      <c r="A43" t="s">
        <v>15</v>
      </c>
      <c r="B43" t="s">
        <v>61</v>
      </c>
      <c r="C43" t="s">
        <v>78</v>
      </c>
      <c r="D43" t="s">
        <v>18</v>
      </c>
      <c r="E43" t="s">
        <v>19</v>
      </c>
      <c r="F43">
        <v>20</v>
      </c>
      <c r="G43">
        <v>418</v>
      </c>
      <c r="H43">
        <v>-118</v>
      </c>
      <c r="I43">
        <v>-7</v>
      </c>
      <c r="J43">
        <v>1172</v>
      </c>
      <c r="M43" t="s">
        <v>115</v>
      </c>
      <c r="N43" t="s">
        <v>32</v>
      </c>
      <c r="P43" t="s">
        <v>111</v>
      </c>
      <c r="Q43" t="s">
        <v>61</v>
      </c>
      <c r="R43" t="s">
        <v>78</v>
      </c>
      <c r="S43" t="s">
        <v>138</v>
      </c>
      <c r="T43" t="s">
        <v>139</v>
      </c>
      <c r="U43">
        <v>18</v>
      </c>
      <c r="V43">
        <v>34</v>
      </c>
      <c r="W43">
        <v>-39</v>
      </c>
      <c r="X43">
        <v>-5</v>
      </c>
      <c r="Y43">
        <v>99</v>
      </c>
      <c r="AB43" t="s">
        <v>115</v>
      </c>
      <c r="AC43" t="s">
        <v>32</v>
      </c>
    </row>
    <row r="44" spans="1:29" x14ac:dyDescent="0.25">
      <c r="A44" t="s">
        <v>15</v>
      </c>
      <c r="B44" t="s">
        <v>61</v>
      </c>
      <c r="C44" t="s">
        <v>79</v>
      </c>
      <c r="D44" t="s">
        <v>54</v>
      </c>
      <c r="E44" t="s">
        <v>55</v>
      </c>
      <c r="F44">
        <v>0</v>
      </c>
      <c r="M44" t="s">
        <v>115</v>
      </c>
      <c r="N44" t="s">
        <v>2</v>
      </c>
      <c r="P44" t="s">
        <v>111</v>
      </c>
      <c r="Q44" t="s">
        <v>61</v>
      </c>
      <c r="R44" t="s">
        <v>79</v>
      </c>
      <c r="S44" t="s">
        <v>54</v>
      </c>
      <c r="T44" t="s">
        <v>55</v>
      </c>
      <c r="U44">
        <v>0</v>
      </c>
      <c r="AB44" t="s">
        <v>115</v>
      </c>
      <c r="AC44" t="s">
        <v>2</v>
      </c>
    </row>
    <row r="45" spans="1:29" x14ac:dyDescent="0.25">
      <c r="A45" t="s">
        <v>15</v>
      </c>
      <c r="B45" t="s">
        <v>61</v>
      </c>
      <c r="C45" t="s">
        <v>80</v>
      </c>
      <c r="D45" t="s">
        <v>54</v>
      </c>
      <c r="E45" t="s">
        <v>55</v>
      </c>
      <c r="F45">
        <v>0</v>
      </c>
      <c r="M45" t="s">
        <v>115</v>
      </c>
      <c r="N45" t="s">
        <v>2</v>
      </c>
      <c r="P45" t="s">
        <v>111</v>
      </c>
      <c r="Q45" t="s">
        <v>61</v>
      </c>
      <c r="R45" t="s">
        <v>80</v>
      </c>
      <c r="S45" t="s">
        <v>34</v>
      </c>
      <c r="T45" t="s">
        <v>35</v>
      </c>
      <c r="U45">
        <v>4</v>
      </c>
      <c r="V45">
        <v>489</v>
      </c>
      <c r="W45">
        <v>-187</v>
      </c>
      <c r="X45">
        <v>-8</v>
      </c>
      <c r="Y45">
        <v>3351</v>
      </c>
      <c r="AB45" t="s">
        <v>115</v>
      </c>
      <c r="AC45" t="s">
        <v>36</v>
      </c>
    </row>
    <row r="46" spans="1:29" x14ac:dyDescent="0.25">
      <c r="A46" t="s">
        <v>15</v>
      </c>
      <c r="B46" t="s">
        <v>81</v>
      </c>
      <c r="C46" t="s">
        <v>82</v>
      </c>
      <c r="D46" t="s">
        <v>18</v>
      </c>
      <c r="E46" t="s">
        <v>19</v>
      </c>
      <c r="F46">
        <v>20</v>
      </c>
      <c r="G46">
        <v>199</v>
      </c>
      <c r="H46">
        <v>101</v>
      </c>
      <c r="I46">
        <v>-4</v>
      </c>
      <c r="J46">
        <v>1084</v>
      </c>
      <c r="M46" t="s">
        <v>115</v>
      </c>
      <c r="N46" t="s">
        <v>115</v>
      </c>
      <c r="P46" t="s">
        <v>111</v>
      </c>
      <c r="Q46" t="s">
        <v>81</v>
      </c>
      <c r="R46" t="s">
        <v>82</v>
      </c>
      <c r="S46" t="s">
        <v>18</v>
      </c>
      <c r="T46" t="s">
        <v>19</v>
      </c>
      <c r="U46">
        <v>20</v>
      </c>
      <c r="V46">
        <v>178</v>
      </c>
      <c r="W46">
        <v>123</v>
      </c>
      <c r="X46">
        <v>52</v>
      </c>
      <c r="Y46">
        <v>1377</v>
      </c>
      <c r="AB46" t="s">
        <v>115</v>
      </c>
      <c r="AC46" t="s">
        <v>115</v>
      </c>
    </row>
    <row r="47" spans="1:29" x14ac:dyDescent="0.25">
      <c r="A47" t="s">
        <v>15</v>
      </c>
      <c r="B47" t="s">
        <v>81</v>
      </c>
      <c r="C47" t="s">
        <v>83</v>
      </c>
      <c r="D47" t="s">
        <v>18</v>
      </c>
      <c r="E47" t="s">
        <v>19</v>
      </c>
      <c r="F47">
        <v>20</v>
      </c>
      <c r="G47">
        <v>2</v>
      </c>
      <c r="H47">
        <v>101</v>
      </c>
      <c r="I47">
        <v>-1</v>
      </c>
      <c r="J47">
        <v>1089</v>
      </c>
      <c r="M47" t="s">
        <v>115</v>
      </c>
      <c r="N47" t="s">
        <v>115</v>
      </c>
      <c r="P47" t="s">
        <v>111</v>
      </c>
      <c r="Q47" t="s">
        <v>81</v>
      </c>
      <c r="R47" t="s">
        <v>83</v>
      </c>
      <c r="S47" t="s">
        <v>18</v>
      </c>
      <c r="T47" t="s">
        <v>19</v>
      </c>
      <c r="U47">
        <v>20</v>
      </c>
      <c r="V47">
        <v>178</v>
      </c>
      <c r="W47">
        <v>123</v>
      </c>
      <c r="X47">
        <v>54</v>
      </c>
      <c r="Y47">
        <v>14</v>
      </c>
      <c r="AB47" t="s">
        <v>115</v>
      </c>
      <c r="AC47" t="s">
        <v>115</v>
      </c>
    </row>
    <row r="48" spans="1:29" x14ac:dyDescent="0.25">
      <c r="A48" t="s">
        <v>15</v>
      </c>
      <c r="B48" t="s">
        <v>81</v>
      </c>
      <c r="C48" t="s">
        <v>84</v>
      </c>
      <c r="D48" t="s">
        <v>18</v>
      </c>
      <c r="E48" t="s">
        <v>19</v>
      </c>
      <c r="F48">
        <v>20</v>
      </c>
      <c r="G48">
        <v>2</v>
      </c>
      <c r="H48">
        <v>1</v>
      </c>
      <c r="I48">
        <v>0</v>
      </c>
      <c r="J48">
        <v>116</v>
      </c>
      <c r="M48" t="s">
        <v>115</v>
      </c>
      <c r="N48" t="s">
        <v>115</v>
      </c>
      <c r="P48" t="s">
        <v>111</v>
      </c>
      <c r="Q48" t="s">
        <v>81</v>
      </c>
      <c r="R48" t="s">
        <v>84</v>
      </c>
      <c r="S48" t="s">
        <v>18</v>
      </c>
      <c r="T48" t="s">
        <v>19</v>
      </c>
      <c r="U48">
        <v>20</v>
      </c>
      <c r="V48">
        <v>172</v>
      </c>
      <c r="W48">
        <v>128</v>
      </c>
      <c r="X48">
        <v>37</v>
      </c>
      <c r="Y48">
        <v>1372</v>
      </c>
      <c r="AB48" t="s">
        <v>115</v>
      </c>
      <c r="AC48" t="s">
        <v>115</v>
      </c>
    </row>
    <row r="49" spans="1:29" x14ac:dyDescent="0.25">
      <c r="A49" t="s">
        <v>15</v>
      </c>
      <c r="B49" t="s">
        <v>81</v>
      </c>
      <c r="C49" t="s">
        <v>85</v>
      </c>
      <c r="D49" t="s">
        <v>18</v>
      </c>
      <c r="E49" t="s">
        <v>19</v>
      </c>
      <c r="F49">
        <v>20</v>
      </c>
      <c r="G49">
        <v>178</v>
      </c>
      <c r="H49">
        <v>123</v>
      </c>
      <c r="I49">
        <v>-9</v>
      </c>
      <c r="J49">
        <v>1965</v>
      </c>
      <c r="M49" t="s">
        <v>115</v>
      </c>
      <c r="N49" t="s">
        <v>46</v>
      </c>
      <c r="P49" t="s">
        <v>111</v>
      </c>
      <c r="Q49" t="s">
        <v>81</v>
      </c>
      <c r="R49" t="s">
        <v>85</v>
      </c>
      <c r="S49" t="s">
        <v>18</v>
      </c>
      <c r="T49" t="s">
        <v>19</v>
      </c>
      <c r="U49">
        <v>20</v>
      </c>
      <c r="V49">
        <v>163</v>
      </c>
      <c r="W49">
        <v>139</v>
      </c>
      <c r="X49">
        <v>56</v>
      </c>
      <c r="Y49">
        <v>1503</v>
      </c>
      <c r="AB49" t="s">
        <v>115</v>
      </c>
      <c r="AC49" t="s">
        <v>115</v>
      </c>
    </row>
    <row r="50" spans="1:29" x14ac:dyDescent="0.25">
      <c r="A50" t="s">
        <v>15</v>
      </c>
      <c r="B50" t="s">
        <v>81</v>
      </c>
      <c r="C50" t="s">
        <v>86</v>
      </c>
      <c r="D50" t="s">
        <v>18</v>
      </c>
      <c r="E50" t="s">
        <v>19</v>
      </c>
      <c r="F50">
        <v>20</v>
      </c>
      <c r="G50">
        <v>171</v>
      </c>
      <c r="H50">
        <v>131</v>
      </c>
      <c r="I50">
        <v>0</v>
      </c>
      <c r="J50">
        <v>2384</v>
      </c>
      <c r="M50" t="s">
        <v>115</v>
      </c>
      <c r="N50" t="s">
        <v>46</v>
      </c>
      <c r="P50" t="s">
        <v>111</v>
      </c>
      <c r="Q50" t="s">
        <v>81</v>
      </c>
      <c r="R50" t="s">
        <v>86</v>
      </c>
      <c r="S50" t="s">
        <v>18</v>
      </c>
      <c r="T50" t="s">
        <v>19</v>
      </c>
      <c r="U50">
        <v>20</v>
      </c>
      <c r="V50">
        <v>19</v>
      </c>
      <c r="W50">
        <v>11</v>
      </c>
      <c r="X50">
        <v>1</v>
      </c>
      <c r="Y50">
        <v>1902</v>
      </c>
      <c r="AB50" t="s">
        <v>115</v>
      </c>
      <c r="AC50" t="s">
        <v>46</v>
      </c>
    </row>
    <row r="51" spans="1:29" x14ac:dyDescent="0.25">
      <c r="A51" t="s">
        <v>15</v>
      </c>
      <c r="B51" t="s">
        <v>81</v>
      </c>
      <c r="C51" t="s">
        <v>87</v>
      </c>
      <c r="D51" t="s">
        <v>54</v>
      </c>
      <c r="E51" t="s">
        <v>55</v>
      </c>
      <c r="F51">
        <v>0</v>
      </c>
      <c r="M51" t="s">
        <v>115</v>
      </c>
      <c r="N51" t="s">
        <v>2</v>
      </c>
      <c r="P51" t="s">
        <v>111</v>
      </c>
      <c r="Q51" t="s">
        <v>81</v>
      </c>
      <c r="R51" t="s">
        <v>87</v>
      </c>
      <c r="S51" t="s">
        <v>138</v>
      </c>
      <c r="T51" t="s">
        <v>139</v>
      </c>
      <c r="U51">
        <v>18</v>
      </c>
      <c r="V51">
        <v>321</v>
      </c>
      <c r="W51">
        <v>-2</v>
      </c>
      <c r="X51">
        <v>12</v>
      </c>
      <c r="Y51">
        <v>1421</v>
      </c>
      <c r="AB51" t="s">
        <v>115</v>
      </c>
      <c r="AC51" t="s">
        <v>32</v>
      </c>
    </row>
    <row r="52" spans="1:29" x14ac:dyDescent="0.25">
      <c r="A52" t="s">
        <v>15</v>
      </c>
      <c r="B52" t="s">
        <v>88</v>
      </c>
      <c r="C52" t="s">
        <v>89</v>
      </c>
      <c r="D52" t="s">
        <v>18</v>
      </c>
      <c r="E52" t="s">
        <v>19</v>
      </c>
      <c r="F52">
        <v>20</v>
      </c>
      <c r="G52">
        <v>193</v>
      </c>
      <c r="H52">
        <v>108</v>
      </c>
      <c r="I52">
        <v>1</v>
      </c>
      <c r="J52">
        <v>1173</v>
      </c>
      <c r="M52" t="s">
        <v>125</v>
      </c>
      <c r="N52" t="s">
        <v>115</v>
      </c>
      <c r="P52" t="s">
        <v>111</v>
      </c>
      <c r="Q52" t="s">
        <v>88</v>
      </c>
      <c r="R52" t="s">
        <v>89</v>
      </c>
      <c r="S52" t="s">
        <v>18</v>
      </c>
      <c r="T52" t="s">
        <v>19</v>
      </c>
      <c r="U52">
        <v>20</v>
      </c>
      <c r="V52">
        <v>169</v>
      </c>
      <c r="W52">
        <v>131</v>
      </c>
      <c r="X52">
        <v>3</v>
      </c>
      <c r="Y52">
        <v>1435</v>
      </c>
      <c r="AB52" t="s">
        <v>125</v>
      </c>
      <c r="AC52" t="s">
        <v>115</v>
      </c>
    </row>
    <row r="53" spans="1:29" x14ac:dyDescent="0.25">
      <c r="A53" t="s">
        <v>15</v>
      </c>
      <c r="B53" t="s">
        <v>88</v>
      </c>
      <c r="C53" t="s">
        <v>90</v>
      </c>
      <c r="D53" t="s">
        <v>18</v>
      </c>
      <c r="E53" t="s">
        <v>19</v>
      </c>
      <c r="F53">
        <v>20</v>
      </c>
      <c r="G53">
        <v>19</v>
      </c>
      <c r="H53">
        <v>111</v>
      </c>
      <c r="I53">
        <v>0</v>
      </c>
      <c r="J53">
        <v>1254</v>
      </c>
      <c r="M53" t="s">
        <v>125</v>
      </c>
      <c r="N53" t="s">
        <v>46</v>
      </c>
      <c r="P53" t="s">
        <v>111</v>
      </c>
      <c r="Q53" t="s">
        <v>88</v>
      </c>
      <c r="R53" t="s">
        <v>90</v>
      </c>
      <c r="S53" t="s">
        <v>18</v>
      </c>
      <c r="T53" t="s">
        <v>19</v>
      </c>
      <c r="U53">
        <v>20</v>
      </c>
      <c r="V53">
        <v>163</v>
      </c>
      <c r="W53">
        <v>138</v>
      </c>
      <c r="X53">
        <v>16</v>
      </c>
      <c r="Y53">
        <v>1485</v>
      </c>
      <c r="AB53" t="s">
        <v>125</v>
      </c>
      <c r="AC53" t="s">
        <v>115</v>
      </c>
    </row>
    <row r="54" spans="1:29" x14ac:dyDescent="0.25">
      <c r="A54" t="s">
        <v>15</v>
      </c>
      <c r="B54" t="s">
        <v>88</v>
      </c>
      <c r="C54" t="s">
        <v>91</v>
      </c>
      <c r="D54" t="s">
        <v>18</v>
      </c>
      <c r="E54" t="s">
        <v>19</v>
      </c>
      <c r="F54">
        <v>20</v>
      </c>
      <c r="G54">
        <v>185</v>
      </c>
      <c r="H54">
        <v>115</v>
      </c>
      <c r="I54">
        <v>-7</v>
      </c>
      <c r="J54">
        <v>1329</v>
      </c>
      <c r="M54" t="s">
        <v>125</v>
      </c>
      <c r="N54" t="s">
        <v>46</v>
      </c>
      <c r="P54" t="s">
        <v>111</v>
      </c>
      <c r="Q54" t="s">
        <v>88</v>
      </c>
      <c r="R54" t="s">
        <v>91</v>
      </c>
      <c r="S54" t="s">
        <v>18</v>
      </c>
      <c r="T54" t="s">
        <v>19</v>
      </c>
      <c r="U54">
        <v>20</v>
      </c>
      <c r="V54">
        <v>161</v>
      </c>
      <c r="W54">
        <v>139</v>
      </c>
      <c r="X54">
        <v>11</v>
      </c>
      <c r="Y54">
        <v>151</v>
      </c>
      <c r="AB54" t="s">
        <v>125</v>
      </c>
      <c r="AC54" t="s">
        <v>115</v>
      </c>
    </row>
    <row r="55" spans="1:29" x14ac:dyDescent="0.25">
      <c r="A55" t="s">
        <v>15</v>
      </c>
      <c r="B55" t="s">
        <v>88</v>
      </c>
      <c r="C55" t="s">
        <v>92</v>
      </c>
      <c r="D55" t="s">
        <v>18</v>
      </c>
      <c r="E55" t="s">
        <v>19</v>
      </c>
      <c r="F55">
        <v>20</v>
      </c>
      <c r="G55">
        <v>176</v>
      </c>
      <c r="H55">
        <v>124</v>
      </c>
      <c r="I55">
        <v>1</v>
      </c>
      <c r="J55">
        <v>2015</v>
      </c>
      <c r="M55" t="s">
        <v>126</v>
      </c>
      <c r="N55" t="s">
        <v>46</v>
      </c>
      <c r="P55" t="s">
        <v>111</v>
      </c>
      <c r="Q55" t="s">
        <v>88</v>
      </c>
      <c r="R55" t="s">
        <v>92</v>
      </c>
      <c r="S55" t="s">
        <v>18</v>
      </c>
      <c r="T55" t="s">
        <v>19</v>
      </c>
      <c r="U55">
        <v>20</v>
      </c>
      <c r="V55">
        <v>135</v>
      </c>
      <c r="W55">
        <v>166</v>
      </c>
      <c r="X55">
        <v>363</v>
      </c>
      <c r="Y55">
        <v>214</v>
      </c>
      <c r="AB55" t="s">
        <v>126</v>
      </c>
      <c r="AC55" t="s">
        <v>46</v>
      </c>
    </row>
    <row r="56" spans="1:29" x14ac:dyDescent="0.25">
      <c r="A56" t="s">
        <v>15</v>
      </c>
      <c r="B56" t="s">
        <v>88</v>
      </c>
      <c r="C56" t="s">
        <v>93</v>
      </c>
      <c r="D56" t="s">
        <v>18</v>
      </c>
      <c r="E56" t="s">
        <v>19</v>
      </c>
      <c r="F56">
        <v>20</v>
      </c>
      <c r="G56">
        <v>2</v>
      </c>
      <c r="H56">
        <v>101</v>
      </c>
      <c r="I56">
        <v>12</v>
      </c>
      <c r="J56">
        <v>891</v>
      </c>
      <c r="M56" t="s">
        <v>127</v>
      </c>
      <c r="N56" t="s">
        <v>115</v>
      </c>
      <c r="P56" t="s">
        <v>111</v>
      </c>
      <c r="Q56" t="s">
        <v>88</v>
      </c>
      <c r="R56" t="s">
        <v>93</v>
      </c>
      <c r="S56" t="s">
        <v>18</v>
      </c>
      <c r="T56" t="s">
        <v>19</v>
      </c>
      <c r="U56">
        <v>20</v>
      </c>
      <c r="V56">
        <v>202</v>
      </c>
      <c r="W56">
        <v>98</v>
      </c>
      <c r="X56">
        <v>278</v>
      </c>
      <c r="Y56">
        <v>1108</v>
      </c>
      <c r="AB56" t="s">
        <v>127</v>
      </c>
      <c r="AC56" t="s">
        <v>32</v>
      </c>
    </row>
    <row r="57" spans="1:29" x14ac:dyDescent="0.25">
      <c r="A57" t="s">
        <v>15</v>
      </c>
      <c r="B57" t="s">
        <v>88</v>
      </c>
      <c r="C57" t="s">
        <v>94</v>
      </c>
      <c r="D57" t="s">
        <v>18</v>
      </c>
      <c r="E57" t="s">
        <v>19</v>
      </c>
      <c r="F57">
        <v>20</v>
      </c>
      <c r="G57">
        <v>188</v>
      </c>
      <c r="H57">
        <v>113</v>
      </c>
      <c r="I57">
        <v>17</v>
      </c>
      <c r="J57">
        <v>1531</v>
      </c>
      <c r="M57" t="s">
        <v>128</v>
      </c>
      <c r="N57" t="s">
        <v>46</v>
      </c>
      <c r="P57" t="s">
        <v>111</v>
      </c>
      <c r="Q57" t="s">
        <v>88</v>
      </c>
      <c r="R57" t="s">
        <v>94</v>
      </c>
      <c r="S57" t="s">
        <v>18</v>
      </c>
      <c r="T57" t="s">
        <v>19</v>
      </c>
      <c r="U57">
        <v>20</v>
      </c>
      <c r="V57">
        <v>16</v>
      </c>
      <c r="W57">
        <v>141</v>
      </c>
      <c r="X57">
        <v>704</v>
      </c>
      <c r="Y57">
        <v>1485</v>
      </c>
      <c r="AB57" t="s">
        <v>128</v>
      </c>
      <c r="AC57" t="s">
        <v>115</v>
      </c>
    </row>
    <row r="58" spans="1:29" x14ac:dyDescent="0.25">
      <c r="A58" t="s">
        <v>15</v>
      </c>
      <c r="B58" t="s">
        <v>88</v>
      </c>
      <c r="C58" t="s">
        <v>95</v>
      </c>
      <c r="D58" t="s">
        <v>18</v>
      </c>
      <c r="E58" t="s">
        <v>19</v>
      </c>
      <c r="F58">
        <v>20</v>
      </c>
      <c r="G58">
        <v>207</v>
      </c>
      <c r="H58">
        <v>93</v>
      </c>
      <c r="I58">
        <v>2</v>
      </c>
      <c r="J58">
        <v>1263</v>
      </c>
      <c r="M58" t="s">
        <v>129</v>
      </c>
      <c r="N58" t="s">
        <v>46</v>
      </c>
      <c r="P58" t="s">
        <v>111</v>
      </c>
      <c r="Q58" t="s">
        <v>88</v>
      </c>
      <c r="R58" t="s">
        <v>95</v>
      </c>
      <c r="S58" t="s">
        <v>18</v>
      </c>
      <c r="T58" t="s">
        <v>19</v>
      </c>
      <c r="U58">
        <v>20</v>
      </c>
      <c r="V58">
        <v>18</v>
      </c>
      <c r="W58">
        <v>121</v>
      </c>
      <c r="X58">
        <v>3</v>
      </c>
      <c r="Y58">
        <v>1379</v>
      </c>
      <c r="AB58" t="s">
        <v>129</v>
      </c>
      <c r="AC58" t="s">
        <v>115</v>
      </c>
    </row>
    <row r="59" spans="1:29" x14ac:dyDescent="0.25">
      <c r="A59" t="s">
        <v>15</v>
      </c>
      <c r="B59" t="s">
        <v>88</v>
      </c>
      <c r="C59" t="s">
        <v>96</v>
      </c>
      <c r="D59" t="s">
        <v>18</v>
      </c>
      <c r="E59" t="s">
        <v>19</v>
      </c>
      <c r="F59">
        <v>20</v>
      </c>
      <c r="G59">
        <v>167</v>
      </c>
      <c r="H59">
        <v>133</v>
      </c>
      <c r="I59">
        <v>-6</v>
      </c>
      <c r="J59">
        <v>257</v>
      </c>
      <c r="M59" t="s">
        <v>130</v>
      </c>
      <c r="N59" t="s">
        <v>46</v>
      </c>
      <c r="P59" t="s">
        <v>111</v>
      </c>
      <c r="Q59" t="s">
        <v>88</v>
      </c>
      <c r="R59" t="s">
        <v>96</v>
      </c>
      <c r="S59" t="s">
        <v>18</v>
      </c>
      <c r="T59" t="s">
        <v>19</v>
      </c>
      <c r="U59">
        <v>20</v>
      </c>
      <c r="V59">
        <v>1</v>
      </c>
      <c r="W59">
        <v>201</v>
      </c>
      <c r="X59">
        <v>417</v>
      </c>
      <c r="Y59">
        <v>2965</v>
      </c>
      <c r="AB59" t="s">
        <v>130</v>
      </c>
      <c r="AC59" t="s">
        <v>46</v>
      </c>
    </row>
    <row r="60" spans="1:29" x14ac:dyDescent="0.25">
      <c r="A60" t="s">
        <v>15</v>
      </c>
      <c r="B60" t="s">
        <v>88</v>
      </c>
      <c r="C60" t="s">
        <v>97</v>
      </c>
      <c r="D60" t="s">
        <v>18</v>
      </c>
      <c r="E60" t="s">
        <v>19</v>
      </c>
      <c r="F60">
        <v>20</v>
      </c>
      <c r="G60">
        <v>223</v>
      </c>
      <c r="H60">
        <v>78</v>
      </c>
      <c r="I60">
        <v>8</v>
      </c>
      <c r="J60">
        <v>867</v>
      </c>
      <c r="M60" t="s">
        <v>131</v>
      </c>
      <c r="N60" t="s">
        <v>32</v>
      </c>
      <c r="P60" t="s">
        <v>111</v>
      </c>
      <c r="Q60" t="s">
        <v>88</v>
      </c>
      <c r="R60" t="s">
        <v>97</v>
      </c>
      <c r="S60" t="s">
        <v>18</v>
      </c>
      <c r="T60" t="s">
        <v>19</v>
      </c>
      <c r="U60">
        <v>20</v>
      </c>
      <c r="V60">
        <v>228</v>
      </c>
      <c r="W60">
        <v>72</v>
      </c>
      <c r="X60">
        <v>51</v>
      </c>
      <c r="Y60">
        <v>107</v>
      </c>
      <c r="AB60" t="s">
        <v>131</v>
      </c>
      <c r="AC60" t="s">
        <v>32</v>
      </c>
    </row>
    <row r="61" spans="1:29" x14ac:dyDescent="0.25">
      <c r="A61" t="s">
        <v>15</v>
      </c>
      <c r="B61" t="s">
        <v>88</v>
      </c>
      <c r="C61" t="s">
        <v>98</v>
      </c>
      <c r="D61" t="s">
        <v>18</v>
      </c>
      <c r="E61" t="s">
        <v>19</v>
      </c>
      <c r="F61">
        <v>20</v>
      </c>
      <c r="G61">
        <v>186</v>
      </c>
      <c r="H61">
        <v>115</v>
      </c>
      <c r="I61">
        <v>19</v>
      </c>
      <c r="J61">
        <v>175</v>
      </c>
      <c r="M61" t="s">
        <v>132</v>
      </c>
      <c r="N61" t="s">
        <v>46</v>
      </c>
      <c r="P61" t="s">
        <v>111</v>
      </c>
      <c r="Q61" t="s">
        <v>88</v>
      </c>
      <c r="R61" t="s">
        <v>98</v>
      </c>
      <c r="S61" t="s">
        <v>18</v>
      </c>
      <c r="T61" t="s">
        <v>19</v>
      </c>
      <c r="U61">
        <v>20</v>
      </c>
      <c r="V61">
        <v>153</v>
      </c>
      <c r="W61">
        <v>148</v>
      </c>
      <c r="X61">
        <v>1015</v>
      </c>
      <c r="Y61">
        <v>1541</v>
      </c>
      <c r="AB61" t="s">
        <v>132</v>
      </c>
      <c r="AC61" t="s">
        <v>46</v>
      </c>
    </row>
    <row r="62" spans="1:29" x14ac:dyDescent="0.25">
      <c r="A62" t="s">
        <v>15</v>
      </c>
      <c r="B62" t="s">
        <v>88</v>
      </c>
      <c r="C62" t="s">
        <v>99</v>
      </c>
      <c r="D62" t="s">
        <v>18</v>
      </c>
      <c r="E62" t="s">
        <v>19</v>
      </c>
      <c r="F62">
        <v>20</v>
      </c>
      <c r="G62">
        <v>21</v>
      </c>
      <c r="H62">
        <v>91</v>
      </c>
      <c r="I62">
        <v>1</v>
      </c>
      <c r="J62">
        <v>1311</v>
      </c>
      <c r="M62" t="s">
        <v>133</v>
      </c>
      <c r="N62" t="s">
        <v>46</v>
      </c>
      <c r="P62" t="s">
        <v>111</v>
      </c>
      <c r="Q62" t="s">
        <v>88</v>
      </c>
      <c r="R62" t="s">
        <v>99</v>
      </c>
      <c r="S62" t="s">
        <v>18</v>
      </c>
      <c r="T62" t="s">
        <v>19</v>
      </c>
      <c r="U62">
        <v>20</v>
      </c>
      <c r="V62">
        <v>176</v>
      </c>
      <c r="W62">
        <v>125</v>
      </c>
      <c r="X62">
        <v>41</v>
      </c>
      <c r="Y62">
        <v>149</v>
      </c>
      <c r="AB62" t="s">
        <v>133</v>
      </c>
      <c r="AC62" t="s">
        <v>115</v>
      </c>
    </row>
    <row r="63" spans="1:29" x14ac:dyDescent="0.25">
      <c r="A63" t="s">
        <v>15</v>
      </c>
      <c r="B63" t="s">
        <v>100</v>
      </c>
      <c r="C63" t="s">
        <v>101</v>
      </c>
      <c r="D63" t="s">
        <v>18</v>
      </c>
      <c r="E63" t="s">
        <v>19</v>
      </c>
      <c r="F63">
        <v>20</v>
      </c>
      <c r="G63">
        <v>154</v>
      </c>
      <c r="H63">
        <v>146</v>
      </c>
      <c r="I63">
        <v>1</v>
      </c>
      <c r="J63">
        <v>133</v>
      </c>
      <c r="M63" t="s">
        <v>115</v>
      </c>
      <c r="N63" t="s">
        <v>46</v>
      </c>
      <c r="P63" t="s">
        <v>111</v>
      </c>
      <c r="Q63" t="s">
        <v>100</v>
      </c>
      <c r="R63" t="s">
        <v>101</v>
      </c>
      <c r="S63" t="s">
        <v>18</v>
      </c>
      <c r="T63" t="s">
        <v>19</v>
      </c>
      <c r="U63">
        <v>20</v>
      </c>
      <c r="V63">
        <v>149</v>
      </c>
      <c r="W63">
        <v>152</v>
      </c>
      <c r="X63">
        <v>-12</v>
      </c>
      <c r="Y63">
        <v>1309</v>
      </c>
      <c r="AB63" t="s">
        <v>115</v>
      </c>
      <c r="AC63" t="s">
        <v>115</v>
      </c>
    </row>
    <row r="64" spans="1:29" x14ac:dyDescent="0.25">
      <c r="A64" t="s">
        <v>15</v>
      </c>
      <c r="B64" t="s">
        <v>100</v>
      </c>
      <c r="C64" t="s">
        <v>102</v>
      </c>
      <c r="D64" t="s">
        <v>18</v>
      </c>
      <c r="E64" t="s">
        <v>19</v>
      </c>
      <c r="F64">
        <v>20</v>
      </c>
      <c r="G64">
        <v>216</v>
      </c>
      <c r="H64">
        <v>85</v>
      </c>
      <c r="I64">
        <v>1</v>
      </c>
      <c r="J64">
        <v>981</v>
      </c>
      <c r="M64" t="s">
        <v>115</v>
      </c>
      <c r="N64" t="s">
        <v>115</v>
      </c>
      <c r="P64" t="s">
        <v>111</v>
      </c>
      <c r="Q64" t="s">
        <v>100</v>
      </c>
      <c r="R64" t="s">
        <v>102</v>
      </c>
      <c r="S64" t="s">
        <v>34</v>
      </c>
      <c r="T64" t="s">
        <v>35</v>
      </c>
      <c r="U64">
        <v>4</v>
      </c>
      <c r="V64">
        <v>198</v>
      </c>
      <c r="W64">
        <v>106</v>
      </c>
      <c r="X64">
        <v>5</v>
      </c>
      <c r="Y64">
        <v>1186</v>
      </c>
      <c r="AB64" t="s">
        <v>115</v>
      </c>
      <c r="AC64" t="s">
        <v>36</v>
      </c>
    </row>
    <row r="65" spans="1:29" x14ac:dyDescent="0.25">
      <c r="A65" t="s">
        <v>15</v>
      </c>
      <c r="B65" t="s">
        <v>100</v>
      </c>
      <c r="C65" t="s">
        <v>103</v>
      </c>
      <c r="D65" t="s">
        <v>104</v>
      </c>
      <c r="E65" t="s">
        <v>105</v>
      </c>
      <c r="F65">
        <v>1</v>
      </c>
      <c r="G65">
        <v>178</v>
      </c>
      <c r="H65">
        <v>165</v>
      </c>
      <c r="I65">
        <v>-2</v>
      </c>
      <c r="J65">
        <v>2332</v>
      </c>
      <c r="M65" t="s">
        <v>115</v>
      </c>
      <c r="N65" t="s">
        <v>2</v>
      </c>
      <c r="P65" t="s">
        <v>111</v>
      </c>
      <c r="Q65" t="s">
        <v>100</v>
      </c>
      <c r="R65" t="s">
        <v>103</v>
      </c>
      <c r="S65" t="s">
        <v>18</v>
      </c>
      <c r="T65" t="s">
        <v>19</v>
      </c>
      <c r="U65">
        <v>20</v>
      </c>
      <c r="V65">
        <v>167</v>
      </c>
      <c r="W65">
        <v>173</v>
      </c>
      <c r="X65">
        <v>-13</v>
      </c>
      <c r="Y65">
        <v>2033</v>
      </c>
      <c r="AB65" t="s">
        <v>115</v>
      </c>
      <c r="AC65" t="s">
        <v>46</v>
      </c>
    </row>
    <row r="66" spans="1:29" x14ac:dyDescent="0.25">
      <c r="A66" t="s">
        <v>15</v>
      </c>
      <c r="B66" t="s">
        <v>100</v>
      </c>
      <c r="C66" t="s">
        <v>106</v>
      </c>
      <c r="D66" t="s">
        <v>18</v>
      </c>
      <c r="E66" t="s">
        <v>19</v>
      </c>
      <c r="F66">
        <v>20</v>
      </c>
      <c r="G66">
        <v>269</v>
      </c>
      <c r="H66">
        <v>31</v>
      </c>
      <c r="I66">
        <v>6</v>
      </c>
      <c r="J66">
        <v>86</v>
      </c>
      <c r="M66" t="s">
        <v>115</v>
      </c>
      <c r="N66" t="s">
        <v>32</v>
      </c>
      <c r="P66" t="s">
        <v>111</v>
      </c>
      <c r="Q66" t="s">
        <v>100</v>
      </c>
      <c r="R66" t="s">
        <v>106</v>
      </c>
      <c r="S66" t="s">
        <v>18</v>
      </c>
      <c r="T66" t="s">
        <v>19</v>
      </c>
      <c r="U66">
        <v>20</v>
      </c>
      <c r="V66">
        <v>201</v>
      </c>
      <c r="W66">
        <v>106</v>
      </c>
      <c r="X66">
        <v>9</v>
      </c>
      <c r="Y66">
        <v>1217</v>
      </c>
      <c r="AB66" t="s">
        <v>115</v>
      </c>
      <c r="AC66" t="s">
        <v>32</v>
      </c>
    </row>
    <row r="67" spans="1:29" x14ac:dyDescent="0.25">
      <c r="A67" t="s">
        <v>15</v>
      </c>
      <c r="B67" t="s">
        <v>100</v>
      </c>
      <c r="C67" t="s">
        <v>107</v>
      </c>
      <c r="D67" t="s">
        <v>18</v>
      </c>
      <c r="E67" t="s">
        <v>19</v>
      </c>
      <c r="F67">
        <v>20</v>
      </c>
      <c r="G67">
        <v>182</v>
      </c>
      <c r="H67">
        <v>119</v>
      </c>
      <c r="I67">
        <v>-7</v>
      </c>
      <c r="J67">
        <v>1719</v>
      </c>
      <c r="K67">
        <v>0</v>
      </c>
      <c r="L67">
        <v>192</v>
      </c>
      <c r="M67" t="s">
        <v>115</v>
      </c>
      <c r="N67" t="s">
        <v>46</v>
      </c>
      <c r="P67" t="s">
        <v>111</v>
      </c>
      <c r="Q67" t="s">
        <v>100</v>
      </c>
      <c r="R67" t="s">
        <v>107</v>
      </c>
      <c r="S67" t="s">
        <v>18</v>
      </c>
      <c r="T67" t="s">
        <v>19</v>
      </c>
      <c r="U67">
        <v>20</v>
      </c>
      <c r="V67">
        <v>168</v>
      </c>
      <c r="W67">
        <v>134</v>
      </c>
      <c r="X67">
        <v>69</v>
      </c>
      <c r="Y67">
        <v>1422</v>
      </c>
      <c r="Z67">
        <v>0</v>
      </c>
      <c r="AA67">
        <v>188</v>
      </c>
      <c r="AB67" t="s">
        <v>115</v>
      </c>
      <c r="AC67" t="s">
        <v>115</v>
      </c>
    </row>
    <row r="68" spans="1:29" x14ac:dyDescent="0.25">
      <c r="A68" t="s">
        <v>15</v>
      </c>
      <c r="B68" t="s">
        <v>100</v>
      </c>
      <c r="C68" t="s">
        <v>108</v>
      </c>
      <c r="D68" t="s">
        <v>34</v>
      </c>
      <c r="E68" t="s">
        <v>35</v>
      </c>
      <c r="F68">
        <v>4</v>
      </c>
      <c r="G68">
        <v>193</v>
      </c>
      <c r="H68">
        <v>11</v>
      </c>
      <c r="I68">
        <v>-3</v>
      </c>
      <c r="J68">
        <v>2039</v>
      </c>
      <c r="K68">
        <v>16</v>
      </c>
      <c r="L68">
        <v>198</v>
      </c>
      <c r="M68" t="s">
        <v>115</v>
      </c>
      <c r="N68" t="s">
        <v>26</v>
      </c>
      <c r="P68" t="s">
        <v>111</v>
      </c>
      <c r="Q68" t="s">
        <v>100</v>
      </c>
      <c r="R68" t="s">
        <v>108</v>
      </c>
      <c r="S68" t="s">
        <v>118</v>
      </c>
      <c r="T68" t="s">
        <v>119</v>
      </c>
      <c r="U68">
        <v>16</v>
      </c>
      <c r="V68">
        <v>203</v>
      </c>
      <c r="W68">
        <v>98</v>
      </c>
      <c r="X68">
        <v>-6</v>
      </c>
      <c r="Y68">
        <v>1321</v>
      </c>
      <c r="Z68">
        <v>4</v>
      </c>
      <c r="AA68">
        <v>211</v>
      </c>
      <c r="AB68" t="s">
        <v>115</v>
      </c>
      <c r="AC68" t="s">
        <v>32</v>
      </c>
    </row>
    <row r="69" spans="1:29" x14ac:dyDescent="0.25">
      <c r="A69" t="s">
        <v>15</v>
      </c>
      <c r="B69" t="s">
        <v>100</v>
      </c>
      <c r="C69" t="s">
        <v>109</v>
      </c>
      <c r="D69" t="s">
        <v>18</v>
      </c>
      <c r="E69" t="s">
        <v>19</v>
      </c>
      <c r="F69">
        <v>20</v>
      </c>
      <c r="G69">
        <v>188</v>
      </c>
      <c r="H69">
        <v>113</v>
      </c>
      <c r="I69">
        <v>-5</v>
      </c>
      <c r="J69">
        <v>1277</v>
      </c>
      <c r="K69">
        <v>0</v>
      </c>
      <c r="L69">
        <v>219</v>
      </c>
      <c r="M69" t="s">
        <v>125</v>
      </c>
      <c r="N69" t="s">
        <v>46</v>
      </c>
      <c r="P69" t="s">
        <v>111</v>
      </c>
      <c r="Q69" t="s">
        <v>100</v>
      </c>
      <c r="R69" t="s">
        <v>109</v>
      </c>
      <c r="S69" t="s">
        <v>18</v>
      </c>
      <c r="T69" t="s">
        <v>19</v>
      </c>
      <c r="U69">
        <v>20</v>
      </c>
      <c r="V69">
        <v>165</v>
      </c>
      <c r="W69">
        <v>135</v>
      </c>
      <c r="X69">
        <v>12</v>
      </c>
      <c r="Y69">
        <v>1468</v>
      </c>
      <c r="Z69">
        <v>0</v>
      </c>
      <c r="AA69">
        <v>198</v>
      </c>
      <c r="AB69" t="s">
        <v>125</v>
      </c>
      <c r="AC69" t="s">
        <v>115</v>
      </c>
    </row>
    <row r="70" spans="1:29" x14ac:dyDescent="0.25">
      <c r="A70" t="s">
        <v>15</v>
      </c>
      <c r="B70" t="s">
        <v>100</v>
      </c>
      <c r="C70" t="s">
        <v>110</v>
      </c>
      <c r="D70" t="s">
        <v>18</v>
      </c>
      <c r="E70" t="s">
        <v>19</v>
      </c>
      <c r="F70">
        <v>20</v>
      </c>
      <c r="G70">
        <v>22</v>
      </c>
      <c r="H70">
        <v>81</v>
      </c>
      <c r="I70">
        <v>12</v>
      </c>
      <c r="J70">
        <v>928</v>
      </c>
      <c r="K70">
        <v>0</v>
      </c>
      <c r="L70">
        <v>252</v>
      </c>
      <c r="M70" t="s">
        <v>131</v>
      </c>
      <c r="N70" t="s">
        <v>32</v>
      </c>
      <c r="P70" t="s">
        <v>111</v>
      </c>
      <c r="Q70" t="s">
        <v>100</v>
      </c>
      <c r="R70" t="s">
        <v>110</v>
      </c>
      <c r="S70" t="s">
        <v>18</v>
      </c>
      <c r="T70" t="s">
        <v>19</v>
      </c>
      <c r="U70">
        <v>20</v>
      </c>
      <c r="V70">
        <v>22</v>
      </c>
      <c r="W70">
        <v>81</v>
      </c>
      <c r="X70">
        <v>52</v>
      </c>
      <c r="Y70">
        <v>1126</v>
      </c>
      <c r="Z70">
        <v>0</v>
      </c>
      <c r="AA70">
        <v>253</v>
      </c>
      <c r="AB70" t="s">
        <v>131</v>
      </c>
      <c r="AC70" t="s">
        <v>32</v>
      </c>
    </row>
    <row r="76" spans="1:29" x14ac:dyDescent="0.25">
      <c r="A76" s="1"/>
      <c r="G76">
        <f>G3/1000</f>
        <v>0.19800000000000001</v>
      </c>
    </row>
    <row r="77" spans="1:29" x14ac:dyDescent="0.25">
      <c r="G77">
        <f t="shared" ref="G77:G140" si="0">G4/1000</f>
        <v>0.19400000000000001</v>
      </c>
    </row>
    <row r="78" spans="1:29" x14ac:dyDescent="0.25">
      <c r="G78">
        <f t="shared" si="0"/>
        <v>0.21299999999999999</v>
      </c>
    </row>
    <row r="79" spans="1:29" x14ac:dyDescent="0.25">
      <c r="G79">
        <f t="shared" si="0"/>
        <v>0.20300000000000001</v>
      </c>
    </row>
    <row r="80" spans="1:29" x14ac:dyDescent="0.25">
      <c r="G80">
        <f t="shared" si="0"/>
        <v>0.21099999999999999</v>
      </c>
    </row>
    <row r="81" spans="7:7" x14ac:dyDescent="0.25">
      <c r="G81">
        <f t="shared" si="0"/>
        <v>0.20799999999999999</v>
      </c>
    </row>
    <row r="82" spans="7:7" x14ac:dyDescent="0.25">
      <c r="G82">
        <f t="shared" si="0"/>
        <v>0.17299999999999999</v>
      </c>
    </row>
    <row r="83" spans="7:7" x14ac:dyDescent="0.25">
      <c r="G83">
        <f t="shared" si="0"/>
        <v>0.216</v>
      </c>
    </row>
    <row r="84" spans="7:7" x14ac:dyDescent="0.25">
      <c r="G84">
        <f t="shared" si="0"/>
        <v>0.28799999999999998</v>
      </c>
    </row>
    <row r="85" spans="7:7" x14ac:dyDescent="0.25">
      <c r="G85">
        <f t="shared" si="0"/>
        <v>3.0000000000000001E-3</v>
      </c>
    </row>
    <row r="86" spans="7:7" x14ac:dyDescent="0.25">
      <c r="G86">
        <f t="shared" si="0"/>
        <v>3.0000000000000001E-3</v>
      </c>
    </row>
    <row r="87" spans="7:7" x14ac:dyDescent="0.25">
      <c r="G87">
        <f t="shared" si="0"/>
        <v>0.17199999999999999</v>
      </c>
    </row>
    <row r="88" spans="7:7" x14ac:dyDescent="0.25">
      <c r="G88">
        <f t="shared" si="0"/>
        <v>0.17299999999999999</v>
      </c>
    </row>
    <row r="89" spans="7:7" x14ac:dyDescent="0.25">
      <c r="G89">
        <f t="shared" si="0"/>
        <v>0.17499999999999999</v>
      </c>
    </row>
    <row r="90" spans="7:7" x14ac:dyDescent="0.25">
      <c r="G90">
        <f t="shared" si="0"/>
        <v>0.183</v>
      </c>
    </row>
    <row r="91" spans="7:7" x14ac:dyDescent="0.25">
      <c r="G91">
        <f t="shared" si="0"/>
        <v>0.14199999999999999</v>
      </c>
    </row>
    <row r="92" spans="7:7" x14ac:dyDescent="0.25">
      <c r="G92">
        <f t="shared" si="0"/>
        <v>0.28799999999999998</v>
      </c>
    </row>
    <row r="93" spans="7:7" x14ac:dyDescent="0.25">
      <c r="G93">
        <f t="shared" si="0"/>
        <v>1.7000000000000001E-2</v>
      </c>
    </row>
    <row r="94" spans="7:7" x14ac:dyDescent="0.25">
      <c r="G94">
        <f t="shared" si="0"/>
        <v>0.30199999999999999</v>
      </c>
    </row>
    <row r="95" spans="7:7" x14ac:dyDescent="0.25">
      <c r="G95">
        <f t="shared" si="0"/>
        <v>0</v>
      </c>
    </row>
    <row r="96" spans="7:7" x14ac:dyDescent="0.25">
      <c r="G96">
        <f t="shared" si="0"/>
        <v>0</v>
      </c>
    </row>
    <row r="97" spans="7:7" x14ac:dyDescent="0.25">
      <c r="G97">
        <f t="shared" si="0"/>
        <v>0</v>
      </c>
    </row>
    <row r="98" spans="7:7" x14ac:dyDescent="0.25">
      <c r="G98">
        <f t="shared" si="0"/>
        <v>0</v>
      </c>
    </row>
    <row r="99" spans="7:7" x14ac:dyDescent="0.25">
      <c r="G99">
        <f t="shared" si="0"/>
        <v>0</v>
      </c>
    </row>
    <row r="100" spans="7:7" x14ac:dyDescent="0.25">
      <c r="G100">
        <f t="shared" si="0"/>
        <v>0</v>
      </c>
    </row>
    <row r="101" spans="7:7" x14ac:dyDescent="0.25">
      <c r="G101">
        <f t="shared" si="0"/>
        <v>0.14199999999999999</v>
      </c>
    </row>
    <row r="102" spans="7:7" x14ac:dyDescent="0.25">
      <c r="G102">
        <f t="shared" si="0"/>
        <v>0.13100000000000001</v>
      </c>
    </row>
    <row r="103" spans="7:7" x14ac:dyDescent="0.25">
      <c r="G103">
        <f t="shared" si="0"/>
        <v>0.17299999999999999</v>
      </c>
    </row>
    <row r="104" spans="7:7" x14ac:dyDescent="0.25">
      <c r="G104">
        <f t="shared" si="0"/>
        <v>0</v>
      </c>
    </row>
    <row r="105" spans="7:7" x14ac:dyDescent="0.25">
      <c r="G105">
        <f t="shared" si="0"/>
        <v>0.17699999999999999</v>
      </c>
    </row>
    <row r="106" spans="7:7" x14ac:dyDescent="0.25">
      <c r="G106">
        <f t="shared" si="0"/>
        <v>0.17599999999999999</v>
      </c>
    </row>
    <row r="107" spans="7:7" x14ac:dyDescent="0.25">
      <c r="G107">
        <f t="shared" si="0"/>
        <v>0.13800000000000001</v>
      </c>
    </row>
    <row r="108" spans="7:7" x14ac:dyDescent="0.25">
      <c r="G108">
        <f t="shared" si="0"/>
        <v>2E-3</v>
      </c>
    </row>
    <row r="109" spans="7:7" x14ac:dyDescent="0.25">
      <c r="G109">
        <f t="shared" si="0"/>
        <v>0.108</v>
      </c>
    </row>
    <row r="110" spans="7:7" x14ac:dyDescent="0.25">
      <c r="G110">
        <f t="shared" si="0"/>
        <v>2.3E-2</v>
      </c>
    </row>
    <row r="111" spans="7:7" x14ac:dyDescent="0.25">
      <c r="G111">
        <f t="shared" si="0"/>
        <v>0</v>
      </c>
    </row>
    <row r="112" spans="7:7" x14ac:dyDescent="0.25">
      <c r="G112">
        <f t="shared" si="0"/>
        <v>0.26700000000000002</v>
      </c>
    </row>
    <row r="113" spans="7:7" x14ac:dyDescent="0.25">
      <c r="G113">
        <f t="shared" si="0"/>
        <v>0</v>
      </c>
    </row>
    <row r="114" spans="7:7" x14ac:dyDescent="0.25">
      <c r="G114">
        <f t="shared" si="0"/>
        <v>0.30199999999999999</v>
      </c>
    </row>
    <row r="115" spans="7:7" x14ac:dyDescent="0.25">
      <c r="G115">
        <f t="shared" si="0"/>
        <v>0</v>
      </c>
    </row>
    <row r="116" spans="7:7" x14ac:dyDescent="0.25">
      <c r="G116">
        <f t="shared" si="0"/>
        <v>0.41799999999999998</v>
      </c>
    </row>
    <row r="117" spans="7:7" x14ac:dyDescent="0.25">
      <c r="G117">
        <f t="shared" si="0"/>
        <v>0</v>
      </c>
    </row>
    <row r="118" spans="7:7" x14ac:dyDescent="0.25">
      <c r="G118">
        <f t="shared" si="0"/>
        <v>0</v>
      </c>
    </row>
    <row r="119" spans="7:7" x14ac:dyDescent="0.25">
      <c r="G119">
        <f t="shared" si="0"/>
        <v>0.19900000000000001</v>
      </c>
    </row>
    <row r="120" spans="7:7" x14ac:dyDescent="0.25">
      <c r="G120">
        <f t="shared" si="0"/>
        <v>2E-3</v>
      </c>
    </row>
    <row r="121" spans="7:7" x14ac:dyDescent="0.25">
      <c r="G121">
        <f t="shared" si="0"/>
        <v>2E-3</v>
      </c>
    </row>
    <row r="122" spans="7:7" x14ac:dyDescent="0.25">
      <c r="G122">
        <f t="shared" si="0"/>
        <v>0.17799999999999999</v>
      </c>
    </row>
    <row r="123" spans="7:7" x14ac:dyDescent="0.25">
      <c r="G123">
        <f t="shared" si="0"/>
        <v>0.17100000000000001</v>
      </c>
    </row>
    <row r="124" spans="7:7" x14ac:dyDescent="0.25">
      <c r="G124">
        <f t="shared" si="0"/>
        <v>0</v>
      </c>
    </row>
    <row r="125" spans="7:7" x14ac:dyDescent="0.25">
      <c r="G125">
        <f t="shared" si="0"/>
        <v>0.193</v>
      </c>
    </row>
    <row r="126" spans="7:7" x14ac:dyDescent="0.25">
      <c r="G126">
        <f t="shared" si="0"/>
        <v>1.9E-2</v>
      </c>
    </row>
    <row r="127" spans="7:7" x14ac:dyDescent="0.25">
      <c r="G127">
        <f t="shared" si="0"/>
        <v>0.185</v>
      </c>
    </row>
    <row r="128" spans="7:7" x14ac:dyDescent="0.25">
      <c r="G128">
        <f t="shared" si="0"/>
        <v>0.17599999999999999</v>
      </c>
    </row>
    <row r="129" spans="7:7" x14ac:dyDescent="0.25">
      <c r="G129">
        <f t="shared" si="0"/>
        <v>2E-3</v>
      </c>
    </row>
    <row r="130" spans="7:7" x14ac:dyDescent="0.25">
      <c r="G130">
        <f t="shared" si="0"/>
        <v>0.188</v>
      </c>
    </row>
    <row r="131" spans="7:7" x14ac:dyDescent="0.25">
      <c r="G131">
        <f t="shared" si="0"/>
        <v>0.20699999999999999</v>
      </c>
    </row>
    <row r="132" spans="7:7" x14ac:dyDescent="0.25">
      <c r="G132">
        <f t="shared" si="0"/>
        <v>0.16700000000000001</v>
      </c>
    </row>
    <row r="133" spans="7:7" x14ac:dyDescent="0.25">
      <c r="G133">
        <f t="shared" si="0"/>
        <v>0.223</v>
      </c>
    </row>
    <row r="134" spans="7:7" x14ac:dyDescent="0.25">
      <c r="G134">
        <f t="shared" si="0"/>
        <v>0.186</v>
      </c>
    </row>
    <row r="135" spans="7:7" x14ac:dyDescent="0.25">
      <c r="G135">
        <f t="shared" si="0"/>
        <v>2.1000000000000001E-2</v>
      </c>
    </row>
    <row r="136" spans="7:7" x14ac:dyDescent="0.25">
      <c r="G136">
        <f t="shared" si="0"/>
        <v>0.154</v>
      </c>
    </row>
    <row r="137" spans="7:7" x14ac:dyDescent="0.25">
      <c r="G137">
        <f t="shared" si="0"/>
        <v>0.216</v>
      </c>
    </row>
    <row r="138" spans="7:7" x14ac:dyDescent="0.25">
      <c r="G138">
        <f t="shared" si="0"/>
        <v>0.17799999999999999</v>
      </c>
    </row>
    <row r="139" spans="7:7" x14ac:dyDescent="0.25">
      <c r="G139">
        <f t="shared" si="0"/>
        <v>0.26900000000000002</v>
      </c>
    </row>
    <row r="140" spans="7:7" x14ac:dyDescent="0.25">
      <c r="G140">
        <f t="shared" si="0"/>
        <v>0.182</v>
      </c>
    </row>
    <row r="141" spans="7:7" x14ac:dyDescent="0.25">
      <c r="G141">
        <f t="shared" ref="G141:G189" si="1">G68/1000</f>
        <v>0.193</v>
      </c>
    </row>
    <row r="142" spans="7:7" x14ac:dyDescent="0.25">
      <c r="G142">
        <f t="shared" si="1"/>
        <v>0.188</v>
      </c>
    </row>
    <row r="143" spans="7:7" x14ac:dyDescent="0.25">
      <c r="G143">
        <f t="shared" si="1"/>
        <v>2.1999999999999999E-2</v>
      </c>
    </row>
    <row r="144" spans="7:7" x14ac:dyDescent="0.25">
      <c r="G144">
        <f t="shared" si="1"/>
        <v>0</v>
      </c>
    </row>
    <row r="145" spans="7:7" x14ac:dyDescent="0.25">
      <c r="G145">
        <f t="shared" si="1"/>
        <v>0</v>
      </c>
    </row>
    <row r="146" spans="7:7" x14ac:dyDescent="0.25">
      <c r="G146">
        <f t="shared" si="1"/>
        <v>0</v>
      </c>
    </row>
    <row r="147" spans="7:7" x14ac:dyDescent="0.25">
      <c r="G147">
        <f t="shared" si="1"/>
        <v>0</v>
      </c>
    </row>
    <row r="148" spans="7:7" x14ac:dyDescent="0.25">
      <c r="G148">
        <f t="shared" si="1"/>
        <v>0</v>
      </c>
    </row>
    <row r="149" spans="7:7" x14ac:dyDescent="0.25">
      <c r="G149">
        <f t="shared" si="1"/>
        <v>1.9800000000000002E-4</v>
      </c>
    </row>
    <row r="150" spans="7:7" x14ac:dyDescent="0.25">
      <c r="G150">
        <f t="shared" si="1"/>
        <v>1.94E-4</v>
      </c>
    </row>
    <row r="151" spans="7:7" x14ac:dyDescent="0.25">
      <c r="G151">
        <f t="shared" si="1"/>
        <v>2.13E-4</v>
      </c>
    </row>
    <row r="152" spans="7:7" x14ac:dyDescent="0.25">
      <c r="G152">
        <f t="shared" si="1"/>
        <v>2.03E-4</v>
      </c>
    </row>
    <row r="153" spans="7:7" x14ac:dyDescent="0.25">
      <c r="G153">
        <f t="shared" si="1"/>
        <v>2.1100000000000001E-4</v>
      </c>
    </row>
    <row r="154" spans="7:7" x14ac:dyDescent="0.25">
      <c r="G154">
        <f t="shared" si="1"/>
        <v>2.0799999999999999E-4</v>
      </c>
    </row>
    <row r="155" spans="7:7" x14ac:dyDescent="0.25">
      <c r="G155">
        <f t="shared" si="1"/>
        <v>1.7299999999999998E-4</v>
      </c>
    </row>
    <row r="156" spans="7:7" x14ac:dyDescent="0.25">
      <c r="G156">
        <f t="shared" si="1"/>
        <v>2.1599999999999999E-4</v>
      </c>
    </row>
    <row r="157" spans="7:7" x14ac:dyDescent="0.25">
      <c r="G157">
        <f t="shared" si="1"/>
        <v>2.8799999999999995E-4</v>
      </c>
    </row>
    <row r="158" spans="7:7" x14ac:dyDescent="0.25">
      <c r="G158">
        <f t="shared" si="1"/>
        <v>3.0000000000000001E-6</v>
      </c>
    </row>
    <row r="159" spans="7:7" x14ac:dyDescent="0.25">
      <c r="G159">
        <f t="shared" si="1"/>
        <v>3.0000000000000001E-6</v>
      </c>
    </row>
    <row r="160" spans="7:7" x14ac:dyDescent="0.25">
      <c r="G160">
        <f t="shared" si="1"/>
        <v>1.7199999999999998E-4</v>
      </c>
    </row>
    <row r="161" spans="7:7" x14ac:dyDescent="0.25">
      <c r="G161">
        <f t="shared" si="1"/>
        <v>1.7299999999999998E-4</v>
      </c>
    </row>
    <row r="162" spans="7:7" x14ac:dyDescent="0.25">
      <c r="G162">
        <f t="shared" si="1"/>
        <v>1.75E-4</v>
      </c>
    </row>
    <row r="163" spans="7:7" x14ac:dyDescent="0.25">
      <c r="G163">
        <f t="shared" si="1"/>
        <v>1.83E-4</v>
      </c>
    </row>
    <row r="164" spans="7:7" x14ac:dyDescent="0.25">
      <c r="G164">
        <f t="shared" si="1"/>
        <v>1.4199999999999998E-4</v>
      </c>
    </row>
    <row r="165" spans="7:7" x14ac:dyDescent="0.25">
      <c r="G165">
        <f t="shared" si="1"/>
        <v>2.8799999999999995E-4</v>
      </c>
    </row>
    <row r="166" spans="7:7" x14ac:dyDescent="0.25">
      <c r="G166">
        <f t="shared" si="1"/>
        <v>1.7E-5</v>
      </c>
    </row>
    <row r="167" spans="7:7" x14ac:dyDescent="0.25">
      <c r="G167">
        <f t="shared" si="1"/>
        <v>3.0199999999999997E-4</v>
      </c>
    </row>
    <row r="168" spans="7:7" x14ac:dyDescent="0.25">
      <c r="G168">
        <f t="shared" si="1"/>
        <v>0</v>
      </c>
    </row>
    <row r="169" spans="7:7" x14ac:dyDescent="0.25">
      <c r="G169">
        <f t="shared" si="1"/>
        <v>0</v>
      </c>
    </row>
    <row r="170" spans="7:7" x14ac:dyDescent="0.25">
      <c r="G170">
        <f t="shared" si="1"/>
        <v>0</v>
      </c>
    </row>
    <row r="171" spans="7:7" x14ac:dyDescent="0.25">
      <c r="G171">
        <f t="shared" si="1"/>
        <v>0</v>
      </c>
    </row>
    <row r="172" spans="7:7" x14ac:dyDescent="0.25">
      <c r="G172">
        <f t="shared" si="1"/>
        <v>0</v>
      </c>
    </row>
    <row r="173" spans="7:7" x14ac:dyDescent="0.25">
      <c r="G173">
        <f t="shared" si="1"/>
        <v>0</v>
      </c>
    </row>
    <row r="174" spans="7:7" x14ac:dyDescent="0.25">
      <c r="G174">
        <f t="shared" si="1"/>
        <v>1.4199999999999998E-4</v>
      </c>
    </row>
    <row r="175" spans="7:7" x14ac:dyDescent="0.25">
      <c r="G175">
        <f t="shared" si="1"/>
        <v>1.3100000000000001E-4</v>
      </c>
    </row>
    <row r="176" spans="7:7" x14ac:dyDescent="0.25">
      <c r="G176">
        <f t="shared" si="1"/>
        <v>1.7299999999999998E-4</v>
      </c>
    </row>
    <row r="177" spans="7:7" x14ac:dyDescent="0.25">
      <c r="G177">
        <f t="shared" si="1"/>
        <v>0</v>
      </c>
    </row>
    <row r="178" spans="7:7" x14ac:dyDescent="0.25">
      <c r="G178">
        <f t="shared" si="1"/>
        <v>1.7699999999999999E-4</v>
      </c>
    </row>
    <row r="179" spans="7:7" x14ac:dyDescent="0.25">
      <c r="G179">
        <f t="shared" si="1"/>
        <v>1.76E-4</v>
      </c>
    </row>
    <row r="180" spans="7:7" x14ac:dyDescent="0.25">
      <c r="G180">
        <f t="shared" si="1"/>
        <v>1.3800000000000002E-4</v>
      </c>
    </row>
    <row r="181" spans="7:7" x14ac:dyDescent="0.25">
      <c r="G181">
        <f t="shared" si="1"/>
        <v>1.9999999999999999E-6</v>
      </c>
    </row>
    <row r="182" spans="7:7" x14ac:dyDescent="0.25">
      <c r="G182">
        <f t="shared" si="1"/>
        <v>1.08E-4</v>
      </c>
    </row>
    <row r="183" spans="7:7" x14ac:dyDescent="0.25">
      <c r="G183">
        <f t="shared" si="1"/>
        <v>2.3E-5</v>
      </c>
    </row>
    <row r="184" spans="7:7" x14ac:dyDescent="0.25">
      <c r="G184">
        <f t="shared" si="1"/>
        <v>0</v>
      </c>
    </row>
    <row r="185" spans="7:7" x14ac:dyDescent="0.25">
      <c r="G185">
        <f t="shared" si="1"/>
        <v>2.6700000000000004E-4</v>
      </c>
    </row>
    <row r="186" spans="7:7" x14ac:dyDescent="0.25">
      <c r="G186">
        <f t="shared" si="1"/>
        <v>0</v>
      </c>
    </row>
    <row r="187" spans="7:7" x14ac:dyDescent="0.25">
      <c r="G187">
        <f t="shared" si="1"/>
        <v>3.0199999999999997E-4</v>
      </c>
    </row>
    <row r="188" spans="7:7" x14ac:dyDescent="0.25">
      <c r="G188">
        <f t="shared" si="1"/>
        <v>0</v>
      </c>
    </row>
    <row r="189" spans="7:7" x14ac:dyDescent="0.25">
      <c r="G189">
        <f t="shared" si="1"/>
        <v>4.1799999999999997E-4</v>
      </c>
    </row>
    <row r="190" spans="7:7" x14ac:dyDescent="0.25">
      <c r="G190">
        <f>G117/1000</f>
        <v>0</v>
      </c>
    </row>
    <row r="191" spans="7:7" x14ac:dyDescent="0.25">
      <c r="G191">
        <f t="shared" ref="G191:G200" si="2">G118/1000</f>
        <v>0</v>
      </c>
    </row>
    <row r="192" spans="7:7" x14ac:dyDescent="0.25">
      <c r="G192">
        <f t="shared" si="2"/>
        <v>1.9900000000000001E-4</v>
      </c>
    </row>
    <row r="193" spans="7:7" x14ac:dyDescent="0.25">
      <c r="G193">
        <f t="shared" si="2"/>
        <v>1.9999999999999999E-6</v>
      </c>
    </row>
    <row r="194" spans="7:7" x14ac:dyDescent="0.25">
      <c r="G194">
        <f t="shared" si="2"/>
        <v>1.9999999999999999E-6</v>
      </c>
    </row>
    <row r="195" spans="7:7" x14ac:dyDescent="0.25">
      <c r="G195">
        <f t="shared" si="2"/>
        <v>1.7799999999999999E-4</v>
      </c>
    </row>
    <row r="196" spans="7:7" x14ac:dyDescent="0.25">
      <c r="G196">
        <f t="shared" si="2"/>
        <v>1.7100000000000001E-4</v>
      </c>
    </row>
    <row r="197" spans="7:7" x14ac:dyDescent="0.25">
      <c r="G197">
        <f t="shared" si="2"/>
        <v>0</v>
      </c>
    </row>
    <row r="198" spans="7:7" x14ac:dyDescent="0.25">
      <c r="G198">
        <f t="shared" si="2"/>
        <v>1.93E-4</v>
      </c>
    </row>
    <row r="199" spans="7:7" x14ac:dyDescent="0.25">
      <c r="G199">
        <f t="shared" si="2"/>
        <v>1.9000000000000001E-5</v>
      </c>
    </row>
    <row r="200" spans="7:7" x14ac:dyDescent="0.25">
      <c r="G200">
        <f t="shared" si="2"/>
        <v>1.85E-4</v>
      </c>
    </row>
  </sheetData>
  <mergeCells count="2">
    <mergeCell ref="A1:N1"/>
    <mergeCell ref="P1:AC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C17D65-5DB9-44FD-B464-0A49539F03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fase1_alpha_walk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Preda</dc:creator>
  <cp:lastModifiedBy>Matteo Preda</cp:lastModifiedBy>
  <dcterms:created xsi:type="dcterms:W3CDTF">2026-10-14T14:59:25Z</dcterms:created>
  <dcterms:modified xsi:type="dcterms:W3CDTF">2026-10-19T23:27:35Z</dcterms:modified>
</cp:coreProperties>
</file>